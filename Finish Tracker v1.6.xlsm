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https://tpicomp-my.sharepoint.com/personal/ftek_tpicomposites_com/Documents/Masaüstü/"/>
    </mc:Choice>
  </mc:AlternateContent>
  <xr:revisionPtr revIDLastSave="65" documentId="8_{F9E620FA-7D55-461F-B6F3-AD81F5B26B99}" xr6:coauthVersionLast="47" xr6:coauthVersionMax="47" xr10:uidLastSave="{3CBBF00F-62CB-48FF-872E-2050F51BD686}"/>
  <bookViews>
    <workbookView minimized="1" xWindow="11868" yWindow="348" windowWidth="11520" windowHeight="12360" autoFilterDateGrouping="0" xr2:uid="{00000000-000D-0000-FFFF-FFFF00000000}"/>
  </bookViews>
  <sheets>
    <sheet name="Finish Status" sheetId="2" r:id="rId1"/>
    <sheet name="İstasyon CT" sheetId="7" r:id="rId2"/>
    <sheet name="Gecikmeler" sheetId="4" r:id="rId3"/>
    <sheet name="Vardiya Aktarımı" sheetId="6" r:id="rId4"/>
    <sheet name="Mold" sheetId="3" state="hidden" r:id="rId5"/>
  </sheets>
  <functionGroups builtInGroupCount="19"/>
  <externalReferences>
    <externalReference r:id="rId6"/>
  </externalReferences>
  <definedNames>
    <definedName name="Process">#REF!</definedName>
    <definedName name="status">#REF!</definedName>
    <definedName name="TabloHATA">[1]!Tablo1[#Data]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50" i="7" l="1"/>
  <c r="E2051" i="7"/>
  <c r="E2052" i="7"/>
  <c r="E2053" i="7"/>
  <c r="E2054" i="7"/>
  <c r="E2055" i="7"/>
  <c r="E2056" i="7"/>
  <c r="E2057" i="7"/>
  <c r="E2058" i="7"/>
  <c r="E2059" i="7"/>
  <c r="E2060" i="7"/>
  <c r="E2061" i="7"/>
  <c r="E2062" i="7"/>
  <c r="E2063" i="7"/>
  <c r="E2064" i="7"/>
  <c r="E2065" i="7"/>
  <c r="E2066" i="7"/>
  <c r="E2067" i="7"/>
  <c r="E2068" i="7"/>
  <c r="E2069" i="7"/>
  <c r="E2070" i="7"/>
  <c r="E2071" i="7"/>
  <c r="E2072" i="7"/>
  <c r="E2073" i="7"/>
  <c r="E2074" i="7"/>
  <c r="E2075" i="7"/>
  <c r="E2076" i="7"/>
  <c r="E2077" i="7"/>
  <c r="E2078" i="7"/>
  <c r="E2079" i="7"/>
  <c r="E2080" i="7"/>
  <c r="E2081" i="7"/>
  <c r="E2082" i="7"/>
  <c r="E2083" i="7"/>
  <c r="E2084" i="7"/>
  <c r="E2085" i="7"/>
  <c r="E2086" i="7"/>
  <c r="E2087" i="7"/>
  <c r="E2088" i="7"/>
  <c r="E2089" i="7"/>
  <c r="E2090" i="7"/>
  <c r="E2091" i="7"/>
  <c r="E2092" i="7"/>
  <c r="E2093" i="7"/>
  <c r="E2094" i="7"/>
  <c r="E2095" i="7"/>
  <c r="E2096" i="7"/>
  <c r="E2097" i="7"/>
  <c r="E2098" i="7"/>
  <c r="E2099" i="7"/>
  <c r="E2100" i="7"/>
  <c r="E2101" i="7"/>
  <c r="E2102" i="7"/>
  <c r="E2103" i="7"/>
  <c r="E2104" i="7"/>
  <c r="E2105" i="7"/>
  <c r="E2106" i="7"/>
  <c r="E2107" i="7"/>
  <c r="E2108" i="7"/>
  <c r="E2109" i="7"/>
  <c r="E2110" i="7"/>
  <c r="E2111" i="7"/>
  <c r="E2112" i="7"/>
  <c r="E2113" i="7"/>
  <c r="E2114" i="7"/>
  <c r="E2115" i="7"/>
  <c r="E2116" i="7"/>
  <c r="E2117" i="7"/>
  <c r="E2118" i="7"/>
  <c r="E2119" i="7"/>
  <c r="E2120" i="7"/>
  <c r="E2121" i="7"/>
  <c r="E2122" i="7"/>
  <c r="E2123" i="7"/>
  <c r="E2124" i="7"/>
  <c r="E2125" i="7"/>
  <c r="E2126" i="7"/>
  <c r="E2127" i="7"/>
  <c r="E2128" i="7"/>
  <c r="E2129" i="7"/>
  <c r="E2130" i="7"/>
  <c r="E2131" i="7"/>
  <c r="E2132" i="7"/>
  <c r="E2133" i="7"/>
  <c r="E2134" i="7"/>
  <c r="E2135" i="7"/>
  <c r="E2136" i="7"/>
  <c r="E2137" i="7"/>
  <c r="E2138" i="7"/>
  <c r="E2139" i="7"/>
  <c r="E2140" i="7"/>
  <c r="E2141" i="7"/>
  <c r="E2142" i="7"/>
  <c r="E2143" i="7"/>
  <c r="E2144" i="7"/>
  <c r="E2145" i="7"/>
  <c r="E2146" i="7"/>
  <c r="E2147" i="7"/>
  <c r="E2148" i="7"/>
  <c r="E2149" i="7"/>
  <c r="E2150" i="7"/>
  <c r="E2151" i="7"/>
  <c r="E2152" i="7"/>
  <c r="E2153" i="7"/>
  <c r="E2154" i="7"/>
  <c r="E2155" i="7"/>
  <c r="E2156" i="7"/>
  <c r="E2157" i="7"/>
  <c r="E2158" i="7"/>
  <c r="E2159" i="7"/>
  <c r="E2160" i="7"/>
  <c r="E2161" i="7"/>
  <c r="E2162" i="7"/>
  <c r="E2163" i="7"/>
  <c r="E2164" i="7"/>
  <c r="E2165" i="7"/>
  <c r="E2166" i="7"/>
  <c r="E2167" i="7"/>
  <c r="E2168" i="7"/>
  <c r="E2169" i="7"/>
  <c r="E2170" i="7"/>
  <c r="E2171" i="7"/>
  <c r="E2172" i="7"/>
  <c r="E2173" i="7"/>
  <c r="E2174" i="7"/>
  <c r="E2175" i="7"/>
  <c r="E2176" i="7"/>
  <c r="E2177" i="7"/>
  <c r="E2178" i="7"/>
  <c r="E2179" i="7"/>
  <c r="E2180" i="7"/>
  <c r="E2181" i="7"/>
  <c r="E2182" i="7"/>
  <c r="E2183" i="7"/>
  <c r="E2184" i="7"/>
  <c r="E2186" i="7"/>
  <c r="E2187" i="7"/>
  <c r="E2188" i="7"/>
  <c r="E2189" i="7"/>
  <c r="E2190" i="7"/>
  <c r="E2191" i="7"/>
  <c r="E2192" i="7"/>
  <c r="E2193" i="7"/>
  <c r="E2194" i="7"/>
  <c r="E2195" i="7"/>
  <c r="E2196" i="7"/>
  <c r="E2197" i="7"/>
  <c r="E2198" i="7"/>
  <c r="E2199" i="7"/>
  <c r="E2200" i="7"/>
  <c r="E2201" i="7"/>
  <c r="E2202" i="7"/>
  <c r="E2203" i="7"/>
  <c r="E2204" i="7"/>
  <c r="E2205" i="7"/>
  <c r="E2206" i="7"/>
  <c r="E2207" i="7"/>
  <c r="E2208" i="7"/>
  <c r="E2209" i="7"/>
  <c r="E2210" i="7"/>
  <c r="E2211" i="7"/>
  <c r="E2212" i="7"/>
  <c r="E2213" i="7"/>
  <c r="E2214" i="7"/>
  <c r="E2215" i="7"/>
  <c r="E2216" i="7"/>
  <c r="E2217" i="7"/>
  <c r="E2218" i="7"/>
  <c r="E2219" i="7"/>
  <c r="E2220" i="7"/>
  <c r="E2221" i="7"/>
  <c r="E2222" i="7"/>
  <c r="E2223" i="7"/>
  <c r="E2224" i="7"/>
  <c r="E2225" i="7"/>
  <c r="E2226" i="7"/>
  <c r="E2227" i="7"/>
  <c r="E2228" i="7"/>
  <c r="E2230" i="7"/>
  <c r="E2232" i="7"/>
  <c r="E2233" i="7"/>
  <c r="E2234" i="7"/>
  <c r="E2235" i="7"/>
  <c r="E2236" i="7"/>
  <c r="E2237" i="7"/>
  <c r="E2238" i="7"/>
  <c r="E2239" i="7"/>
  <c r="E2240" i="7"/>
  <c r="E2241" i="7"/>
  <c r="E2242" i="7"/>
  <c r="E2243" i="7"/>
  <c r="E2244" i="7"/>
  <c r="E2245" i="7"/>
  <c r="E2246" i="7"/>
  <c r="E2247" i="7"/>
  <c r="E2248" i="7"/>
  <c r="E2249" i="7"/>
  <c r="E2250" i="7"/>
  <c r="E2251" i="7"/>
  <c r="E2252" i="7"/>
  <c r="E2253" i="7"/>
  <c r="E2254" i="7"/>
  <c r="E2255" i="7"/>
  <c r="E2256" i="7"/>
  <c r="E2257" i="7"/>
  <c r="E2258" i="7"/>
  <c r="E2259" i="7"/>
  <c r="E2260" i="7"/>
  <c r="E2261" i="7"/>
  <c r="E2262" i="7"/>
  <c r="E2263" i="7"/>
  <c r="E1794" i="7"/>
  <c r="E1795" i="7"/>
  <c r="E1796" i="7"/>
  <c r="E1797" i="7"/>
  <c r="E1798" i="7"/>
  <c r="E1799" i="7"/>
  <c r="E1800" i="7"/>
  <c r="E1801" i="7"/>
  <c r="E1802" i="7"/>
  <c r="E1803" i="7"/>
  <c r="E1804" i="7"/>
  <c r="E1805" i="7"/>
  <c r="E1806" i="7"/>
  <c r="E1807" i="7"/>
  <c r="E1808" i="7"/>
  <c r="E1809" i="7"/>
  <c r="E1810" i="7"/>
  <c r="E1811" i="7"/>
  <c r="E1812" i="7"/>
  <c r="E1813" i="7"/>
  <c r="E1814" i="7"/>
  <c r="E1815" i="7"/>
  <c r="E1816" i="7"/>
  <c r="E1817" i="7"/>
  <c r="E1818" i="7"/>
  <c r="E1819" i="7"/>
  <c r="E1820" i="7"/>
  <c r="E1821" i="7"/>
  <c r="E1822" i="7"/>
  <c r="E1823" i="7"/>
  <c r="E1824" i="7"/>
  <c r="E1825" i="7"/>
  <c r="E1826" i="7"/>
  <c r="E1827" i="7"/>
  <c r="E1828" i="7"/>
  <c r="E1829" i="7"/>
  <c r="E1830" i="7"/>
  <c r="E1831" i="7"/>
  <c r="E1832" i="7"/>
  <c r="E1833" i="7"/>
  <c r="E1834" i="7"/>
  <c r="E1835" i="7"/>
  <c r="E1836" i="7"/>
  <c r="E1837" i="7"/>
  <c r="E1838" i="7"/>
  <c r="E1839" i="7"/>
  <c r="E1840" i="7"/>
  <c r="E1841" i="7"/>
  <c r="E1842" i="7"/>
  <c r="E1843" i="7"/>
  <c r="E1844" i="7"/>
  <c r="E1845" i="7"/>
  <c r="E1846" i="7"/>
  <c r="E1847" i="7"/>
  <c r="E1848" i="7"/>
  <c r="E1849" i="7"/>
  <c r="E1850" i="7"/>
  <c r="E1851" i="7"/>
  <c r="E1852" i="7"/>
  <c r="E1853" i="7"/>
  <c r="E1854" i="7"/>
  <c r="E1855" i="7"/>
  <c r="E1856" i="7"/>
  <c r="E1857" i="7"/>
  <c r="E1858" i="7"/>
  <c r="E1859" i="7"/>
  <c r="E1860" i="7"/>
  <c r="E1861" i="7"/>
  <c r="E1862" i="7"/>
  <c r="E1863" i="7"/>
  <c r="E1864" i="7"/>
  <c r="E1865" i="7"/>
  <c r="E1866" i="7"/>
  <c r="E1867" i="7"/>
  <c r="E1868" i="7"/>
  <c r="E1869" i="7"/>
  <c r="E1870" i="7"/>
  <c r="E1871" i="7"/>
  <c r="E1872" i="7"/>
  <c r="E1873" i="7"/>
  <c r="E1874" i="7"/>
  <c r="E1875" i="7"/>
  <c r="E1876" i="7"/>
  <c r="E1877" i="7"/>
  <c r="E1878" i="7"/>
  <c r="E1879" i="7"/>
  <c r="E1880" i="7"/>
  <c r="E1881" i="7"/>
  <c r="E1882" i="7"/>
  <c r="E1883" i="7"/>
  <c r="E1884" i="7"/>
  <c r="E1885" i="7"/>
  <c r="E1886" i="7"/>
  <c r="E1887" i="7"/>
  <c r="E1888" i="7"/>
  <c r="E1889" i="7"/>
  <c r="E1890" i="7"/>
  <c r="E1891" i="7"/>
  <c r="E1892" i="7"/>
  <c r="E1893" i="7"/>
  <c r="E1894" i="7"/>
  <c r="E1895" i="7"/>
  <c r="E1896" i="7"/>
  <c r="E1897" i="7"/>
  <c r="E1898" i="7"/>
  <c r="E1899" i="7"/>
  <c r="E1900" i="7"/>
  <c r="E1901" i="7"/>
  <c r="E1902" i="7"/>
  <c r="E1903" i="7"/>
  <c r="E1904" i="7"/>
  <c r="E1905" i="7"/>
  <c r="E1906" i="7"/>
  <c r="E1907" i="7"/>
  <c r="E1908" i="7"/>
  <c r="E1909" i="7"/>
  <c r="E1910" i="7"/>
  <c r="E1911" i="7"/>
  <c r="E1912" i="7"/>
  <c r="E1913" i="7"/>
  <c r="E1914" i="7"/>
  <c r="E1915" i="7"/>
  <c r="E1916" i="7"/>
  <c r="E1917" i="7"/>
  <c r="E1918" i="7"/>
  <c r="E1919" i="7"/>
  <c r="E1920" i="7"/>
  <c r="E1921" i="7"/>
  <c r="E1922" i="7"/>
  <c r="E1923" i="7"/>
  <c r="E1924" i="7"/>
  <c r="E1925" i="7"/>
  <c r="E1926" i="7"/>
  <c r="E1927" i="7"/>
  <c r="E1928" i="7"/>
  <c r="E1929" i="7"/>
  <c r="E1930" i="7"/>
  <c r="E1931" i="7"/>
  <c r="E1932" i="7"/>
  <c r="E1933" i="7"/>
  <c r="E1934" i="7"/>
  <c r="E1935" i="7"/>
  <c r="E1936" i="7"/>
  <c r="E1937" i="7"/>
  <c r="E1938" i="7"/>
  <c r="E1939" i="7"/>
  <c r="E1940" i="7"/>
  <c r="E1941" i="7"/>
  <c r="E1942" i="7"/>
  <c r="E1943" i="7"/>
  <c r="E1944" i="7"/>
  <c r="E1945" i="7"/>
  <c r="E1946" i="7"/>
  <c r="E1947" i="7"/>
  <c r="E1948" i="7"/>
  <c r="E1949" i="7"/>
  <c r="E1950" i="7"/>
  <c r="E1951" i="7"/>
  <c r="E1952" i="7"/>
  <c r="E1953" i="7"/>
  <c r="E1954" i="7"/>
  <c r="E1955" i="7"/>
  <c r="E1956" i="7"/>
  <c r="E1957" i="7"/>
  <c r="E1958" i="7"/>
  <c r="E1959" i="7"/>
  <c r="E1960" i="7"/>
  <c r="E1961" i="7"/>
  <c r="E1962" i="7"/>
  <c r="E1963" i="7"/>
  <c r="E1964" i="7"/>
  <c r="E1965" i="7"/>
  <c r="E1966" i="7"/>
  <c r="E1967" i="7"/>
  <c r="E1968" i="7"/>
  <c r="E1969" i="7"/>
  <c r="E1970" i="7"/>
  <c r="E1971" i="7"/>
  <c r="E1972" i="7"/>
  <c r="E1973" i="7"/>
  <c r="E1974" i="7"/>
  <c r="E1975" i="7"/>
  <c r="E1976" i="7"/>
  <c r="E1977" i="7"/>
  <c r="E1978" i="7"/>
  <c r="E1979" i="7"/>
  <c r="E1980" i="7"/>
  <c r="E1981" i="7"/>
  <c r="E1982" i="7"/>
  <c r="E1983" i="7"/>
  <c r="E1984" i="7"/>
  <c r="E1985" i="7"/>
  <c r="E1986" i="7"/>
  <c r="E1987" i="7"/>
  <c r="E1988" i="7"/>
  <c r="E1989" i="7"/>
  <c r="E1990" i="7"/>
  <c r="E1991" i="7"/>
  <c r="E1992" i="7"/>
  <c r="E1993" i="7"/>
  <c r="E1994" i="7"/>
  <c r="E1995" i="7"/>
  <c r="E1996" i="7"/>
  <c r="E1997" i="7"/>
  <c r="E1998" i="7"/>
  <c r="E1999" i="7"/>
  <c r="E2000" i="7"/>
  <c r="E2001" i="7"/>
  <c r="E2002" i="7"/>
  <c r="E2003" i="7"/>
  <c r="E2004" i="7"/>
  <c r="E2005" i="7"/>
  <c r="E2006" i="7"/>
  <c r="E2007" i="7"/>
  <c r="E2008" i="7"/>
  <c r="E2009" i="7"/>
  <c r="E2010" i="7"/>
  <c r="E2011" i="7"/>
  <c r="E2012" i="7"/>
  <c r="E2013" i="7"/>
  <c r="E2014" i="7"/>
  <c r="E2015" i="7"/>
  <c r="E2016" i="7"/>
  <c r="E2017" i="7"/>
  <c r="E2018" i="7"/>
  <c r="E2019" i="7"/>
  <c r="E2020" i="7"/>
  <c r="E2021" i="7"/>
  <c r="E2022" i="7"/>
  <c r="E2023" i="7"/>
  <c r="E2024" i="7"/>
  <c r="E2025" i="7"/>
  <c r="E2026" i="7"/>
  <c r="E2027" i="7"/>
  <c r="E2028" i="7"/>
  <c r="E2029" i="7"/>
  <c r="E2030" i="7"/>
  <c r="E2031" i="7"/>
  <c r="E2032" i="7"/>
  <c r="E2033" i="7"/>
  <c r="E2034" i="7"/>
  <c r="E2035" i="7"/>
  <c r="E2036" i="7"/>
  <c r="E2037" i="7"/>
  <c r="E2038" i="7"/>
  <c r="E2039" i="7"/>
  <c r="E2040" i="7"/>
  <c r="E2041" i="7"/>
  <c r="E2042" i="7"/>
  <c r="E2043" i="7"/>
  <c r="E2044" i="7"/>
  <c r="E2045" i="7"/>
  <c r="E2046" i="7"/>
  <c r="E2047" i="7"/>
  <c r="E2048" i="7"/>
  <c r="E2049" i="7"/>
  <c r="E1538" i="7"/>
  <c r="E1539" i="7"/>
  <c r="E1540" i="7"/>
  <c r="E1541" i="7"/>
  <c r="E1542" i="7"/>
  <c r="E1543" i="7"/>
  <c r="E1544" i="7"/>
  <c r="E1545" i="7"/>
  <c r="E1546" i="7"/>
  <c r="E1547" i="7"/>
  <c r="E1548" i="7"/>
  <c r="E1549" i="7"/>
  <c r="E1550" i="7"/>
  <c r="E1551" i="7"/>
  <c r="E1552" i="7"/>
  <c r="E1553" i="7"/>
  <c r="E1554" i="7"/>
  <c r="E1555" i="7"/>
  <c r="E1556" i="7"/>
  <c r="E1557" i="7"/>
  <c r="E1558" i="7"/>
  <c r="E1559" i="7"/>
  <c r="E1560" i="7"/>
  <c r="E1561" i="7"/>
  <c r="E1562" i="7"/>
  <c r="E1563" i="7"/>
  <c r="E1564" i="7"/>
  <c r="E1565" i="7"/>
  <c r="E1566" i="7"/>
  <c r="E1567" i="7"/>
  <c r="E1568" i="7"/>
  <c r="E1569" i="7"/>
  <c r="E1570" i="7"/>
  <c r="E1571" i="7"/>
  <c r="E1572" i="7"/>
  <c r="E1573" i="7"/>
  <c r="E1574" i="7"/>
  <c r="E1575" i="7"/>
  <c r="E1576" i="7"/>
  <c r="E1577" i="7"/>
  <c r="E1578" i="7"/>
  <c r="E1579" i="7"/>
  <c r="E1580" i="7"/>
  <c r="E1581" i="7"/>
  <c r="E1582" i="7"/>
  <c r="E1583" i="7"/>
  <c r="E1584" i="7"/>
  <c r="E1585" i="7"/>
  <c r="E1586" i="7"/>
  <c r="E1587" i="7"/>
  <c r="E1588" i="7"/>
  <c r="E1589" i="7"/>
  <c r="E1590" i="7"/>
  <c r="E1591" i="7"/>
  <c r="E1592" i="7"/>
  <c r="E1593" i="7"/>
  <c r="E1594" i="7"/>
  <c r="E1595" i="7"/>
  <c r="E1596" i="7"/>
  <c r="E1597" i="7"/>
  <c r="E1598" i="7"/>
  <c r="E1599" i="7"/>
  <c r="E1600" i="7"/>
  <c r="E1601" i="7"/>
  <c r="E1602" i="7"/>
  <c r="E1603" i="7"/>
  <c r="E1604" i="7"/>
  <c r="E1605" i="7"/>
  <c r="E1606" i="7"/>
  <c r="E1607" i="7"/>
  <c r="E1608" i="7"/>
  <c r="E1609" i="7"/>
  <c r="E1610" i="7"/>
  <c r="E1611" i="7"/>
  <c r="E1612" i="7"/>
  <c r="E1613" i="7"/>
  <c r="E1614" i="7"/>
  <c r="E1615" i="7"/>
  <c r="E1616" i="7"/>
  <c r="E1617" i="7"/>
  <c r="E1618" i="7"/>
  <c r="E1619" i="7"/>
  <c r="E1620" i="7"/>
  <c r="E1621" i="7"/>
  <c r="E1622" i="7"/>
  <c r="E1623" i="7"/>
  <c r="E1624" i="7"/>
  <c r="E1625" i="7"/>
  <c r="E1626" i="7"/>
  <c r="E1627" i="7"/>
  <c r="E1628" i="7"/>
  <c r="E1629" i="7"/>
  <c r="E1630" i="7"/>
  <c r="E1631" i="7"/>
  <c r="E1632" i="7"/>
  <c r="E1633" i="7"/>
  <c r="E1634" i="7"/>
  <c r="E1635" i="7"/>
  <c r="E1636" i="7"/>
  <c r="E1637" i="7"/>
  <c r="E1638" i="7"/>
  <c r="E1639" i="7"/>
  <c r="E1640" i="7"/>
  <c r="E1641" i="7"/>
  <c r="E1642" i="7"/>
  <c r="E1643" i="7"/>
  <c r="E1644" i="7"/>
  <c r="E1645" i="7"/>
  <c r="E1646" i="7"/>
  <c r="E1647" i="7"/>
  <c r="E1648" i="7"/>
  <c r="E1649" i="7"/>
  <c r="E1650" i="7"/>
  <c r="E1651" i="7"/>
  <c r="E1652" i="7"/>
  <c r="E1653" i="7"/>
  <c r="E1654" i="7"/>
  <c r="E1655" i="7"/>
  <c r="E1656" i="7"/>
  <c r="E1657" i="7"/>
  <c r="E1658" i="7"/>
  <c r="E1659" i="7"/>
  <c r="E1660" i="7"/>
  <c r="E1661" i="7"/>
  <c r="E1662" i="7"/>
  <c r="E1663" i="7"/>
  <c r="E1664" i="7"/>
  <c r="E1665" i="7"/>
  <c r="E1666" i="7"/>
  <c r="E1667" i="7"/>
  <c r="E1668" i="7"/>
  <c r="E1669" i="7"/>
  <c r="E1670" i="7"/>
  <c r="E1671" i="7"/>
  <c r="E1672" i="7"/>
  <c r="E1673" i="7"/>
  <c r="E1674" i="7"/>
  <c r="E1675" i="7"/>
  <c r="E1676" i="7"/>
  <c r="E1677" i="7"/>
  <c r="E1678" i="7"/>
  <c r="E1679" i="7"/>
  <c r="E1680" i="7"/>
  <c r="E1681" i="7"/>
  <c r="E1682" i="7"/>
  <c r="E1683" i="7"/>
  <c r="E1684" i="7"/>
  <c r="E1685" i="7"/>
  <c r="E1686" i="7"/>
  <c r="E1687" i="7"/>
  <c r="E1688" i="7"/>
  <c r="E1689" i="7"/>
  <c r="E1690" i="7"/>
  <c r="E1691" i="7"/>
  <c r="E1692" i="7"/>
  <c r="E1693" i="7"/>
  <c r="E1694" i="7"/>
  <c r="E1695" i="7"/>
  <c r="E1696" i="7"/>
  <c r="E1697" i="7"/>
  <c r="E1698" i="7"/>
  <c r="E1699" i="7"/>
  <c r="E1700" i="7"/>
  <c r="E1701" i="7"/>
  <c r="E1702" i="7"/>
  <c r="E1703" i="7"/>
  <c r="E1704" i="7"/>
  <c r="E1705" i="7"/>
  <c r="E1706" i="7"/>
  <c r="E1707" i="7"/>
  <c r="E1708" i="7"/>
  <c r="E1709" i="7"/>
  <c r="E1710" i="7"/>
  <c r="E1711" i="7"/>
  <c r="E1712" i="7"/>
  <c r="E1713" i="7"/>
  <c r="E1714" i="7"/>
  <c r="E1715" i="7"/>
  <c r="E1716" i="7"/>
  <c r="E1717" i="7"/>
  <c r="E1718" i="7"/>
  <c r="E1719" i="7"/>
  <c r="E1720" i="7"/>
  <c r="E1721" i="7"/>
  <c r="E1722" i="7"/>
  <c r="E1723" i="7"/>
  <c r="E1724" i="7"/>
  <c r="E1725" i="7"/>
  <c r="E1726" i="7"/>
  <c r="E1728" i="7"/>
  <c r="E1729" i="7"/>
  <c r="E1730" i="7"/>
  <c r="E1731" i="7"/>
  <c r="E1732" i="7"/>
  <c r="E1733" i="7"/>
  <c r="E1734" i="7"/>
  <c r="E1735" i="7"/>
  <c r="E1736" i="7"/>
  <c r="E1737" i="7"/>
  <c r="E1738" i="7"/>
  <c r="E1739" i="7"/>
  <c r="E1740" i="7"/>
  <c r="E1741" i="7"/>
  <c r="E1742" i="7"/>
  <c r="E1743" i="7"/>
  <c r="E1744" i="7"/>
  <c r="E1745" i="7"/>
  <c r="E1746" i="7"/>
  <c r="E1747" i="7"/>
  <c r="E1748" i="7"/>
  <c r="E1749" i="7"/>
  <c r="E1750" i="7"/>
  <c r="E1751" i="7"/>
  <c r="E1752" i="7"/>
  <c r="E1753" i="7"/>
  <c r="E1754" i="7"/>
  <c r="E1755" i="7"/>
  <c r="E1756" i="7"/>
  <c r="E1757" i="7"/>
  <c r="E1758" i="7"/>
  <c r="E1759" i="7"/>
  <c r="E1760" i="7"/>
  <c r="E1761" i="7"/>
  <c r="E1762" i="7"/>
  <c r="E1763" i="7"/>
  <c r="E1764" i="7"/>
  <c r="E1765" i="7"/>
  <c r="E1766" i="7"/>
  <c r="E1767" i="7"/>
  <c r="E1768" i="7"/>
  <c r="E1769" i="7"/>
  <c r="E1770" i="7"/>
  <c r="E1771" i="7"/>
  <c r="E1772" i="7"/>
  <c r="E1773" i="7"/>
  <c r="E1774" i="7"/>
  <c r="E1775" i="7"/>
  <c r="E1776" i="7"/>
  <c r="E1777" i="7"/>
  <c r="E1778" i="7"/>
  <c r="E1779" i="7"/>
  <c r="E1780" i="7"/>
  <c r="E1781" i="7"/>
  <c r="E1782" i="7"/>
  <c r="E1783" i="7"/>
  <c r="E1784" i="7"/>
  <c r="E1785" i="7"/>
  <c r="E1786" i="7"/>
  <c r="E1787" i="7"/>
  <c r="E1788" i="7"/>
  <c r="E1789" i="7"/>
  <c r="E1790" i="7"/>
  <c r="E1791" i="7"/>
  <c r="E1792" i="7"/>
  <c r="E1793" i="7"/>
  <c r="E1282" i="7"/>
  <c r="E1283" i="7"/>
  <c r="E1284" i="7"/>
  <c r="E1285" i="7"/>
  <c r="E1287" i="7"/>
  <c r="E1288" i="7"/>
  <c r="E1289" i="7"/>
  <c r="E1290" i="7"/>
  <c r="E1291" i="7"/>
  <c r="E1292" i="7"/>
  <c r="E1293" i="7"/>
  <c r="E1294" i="7"/>
  <c r="E1295" i="7"/>
  <c r="E1296" i="7"/>
  <c r="E1297" i="7"/>
  <c r="E1299" i="7"/>
  <c r="E1300" i="7"/>
  <c r="E1301" i="7"/>
  <c r="E1302" i="7"/>
  <c r="E1303" i="7"/>
  <c r="E1305" i="7"/>
  <c r="E1306" i="7"/>
  <c r="E1307" i="7"/>
  <c r="E1308" i="7"/>
  <c r="E1309" i="7"/>
  <c r="E1311" i="7"/>
  <c r="E1312" i="7"/>
  <c r="E1313" i="7"/>
  <c r="E1314" i="7"/>
  <c r="E1315" i="7"/>
  <c r="E1317" i="7"/>
  <c r="E1318" i="7"/>
  <c r="E1319" i="7"/>
  <c r="E1320" i="7"/>
  <c r="E1321" i="7"/>
  <c r="E1323" i="7"/>
  <c r="E1324" i="7"/>
  <c r="E1325" i="7"/>
  <c r="E1326" i="7"/>
  <c r="E1327" i="7"/>
  <c r="E1329" i="7"/>
  <c r="E1330" i="7"/>
  <c r="E1331" i="7"/>
  <c r="E1332" i="7"/>
  <c r="E1333" i="7"/>
  <c r="E1335" i="7"/>
  <c r="E1336" i="7"/>
  <c r="E1337" i="7"/>
  <c r="E1338" i="7"/>
  <c r="E1339" i="7"/>
  <c r="E1341" i="7"/>
  <c r="E1342" i="7"/>
  <c r="E1343" i="7"/>
  <c r="E1344" i="7"/>
  <c r="E1345" i="7"/>
  <c r="E1347" i="7"/>
  <c r="E1348" i="7"/>
  <c r="E1349" i="7"/>
  <c r="E1350" i="7"/>
  <c r="E1351" i="7"/>
  <c r="E1353" i="7"/>
  <c r="E1354" i="7"/>
  <c r="E1355" i="7"/>
  <c r="E1356" i="7"/>
  <c r="E1357" i="7"/>
  <c r="E1359" i="7"/>
  <c r="E1360" i="7"/>
  <c r="E1361" i="7"/>
  <c r="E1362" i="7"/>
  <c r="E1363" i="7"/>
  <c r="E1365" i="7"/>
  <c r="E1366" i="7"/>
  <c r="E1367" i="7"/>
  <c r="E1368" i="7"/>
  <c r="E1369" i="7"/>
  <c r="E1371" i="7"/>
  <c r="E1372" i="7"/>
  <c r="E1373" i="7"/>
  <c r="E1374" i="7"/>
  <c r="E1375" i="7"/>
  <c r="E1377" i="7"/>
  <c r="E1378" i="7"/>
  <c r="E1379" i="7"/>
  <c r="E1380" i="7"/>
  <c r="E1381" i="7"/>
  <c r="E1383" i="7"/>
  <c r="E1384" i="7"/>
  <c r="E1385" i="7"/>
  <c r="E1386" i="7"/>
  <c r="E1387" i="7"/>
  <c r="E1389" i="7"/>
  <c r="E1390" i="7"/>
  <c r="E1391" i="7"/>
  <c r="E1392" i="7"/>
  <c r="E1393" i="7"/>
  <c r="E1395" i="7"/>
  <c r="E1396" i="7"/>
  <c r="E1397" i="7"/>
  <c r="E1398" i="7"/>
  <c r="E1399" i="7"/>
  <c r="E1401" i="7"/>
  <c r="E1402" i="7"/>
  <c r="E1403" i="7"/>
  <c r="E1404" i="7"/>
  <c r="E1405" i="7"/>
  <c r="E1407" i="7"/>
  <c r="E1408" i="7"/>
  <c r="E1409" i="7"/>
  <c r="E1410" i="7"/>
  <c r="E1411" i="7"/>
  <c r="E1413" i="7"/>
  <c r="E1414" i="7"/>
  <c r="E1415" i="7"/>
  <c r="E1416" i="7"/>
  <c r="E1417" i="7"/>
  <c r="E1419" i="7"/>
  <c r="E1420" i="7"/>
  <c r="E1421" i="7"/>
  <c r="E1422" i="7"/>
  <c r="E1423" i="7"/>
  <c r="E1424" i="7"/>
  <c r="E1425" i="7"/>
  <c r="E1426" i="7"/>
  <c r="E1427" i="7"/>
  <c r="E1428" i="7"/>
  <c r="E1429" i="7"/>
  <c r="E1430" i="7"/>
  <c r="E1431" i="7"/>
  <c r="E1432" i="7"/>
  <c r="E1433" i="7"/>
  <c r="E1434" i="7"/>
  <c r="E1435" i="7"/>
  <c r="E1436" i="7"/>
  <c r="E1437" i="7"/>
  <c r="E1438" i="7"/>
  <c r="E1439" i="7"/>
  <c r="E1440" i="7"/>
  <c r="E1441" i="7"/>
  <c r="E1442" i="7"/>
  <c r="E1443" i="7"/>
  <c r="E1444" i="7"/>
  <c r="E1445" i="7"/>
  <c r="E1446" i="7"/>
  <c r="E1447" i="7"/>
  <c r="E1448" i="7"/>
  <c r="E1449" i="7"/>
  <c r="E1450" i="7"/>
  <c r="E1451" i="7"/>
  <c r="E1452" i="7"/>
  <c r="E1453" i="7"/>
  <c r="E1454" i="7"/>
  <c r="E1455" i="7"/>
  <c r="E1456" i="7"/>
  <c r="E1457" i="7"/>
  <c r="E1458" i="7"/>
  <c r="E1459" i="7"/>
  <c r="E1460" i="7"/>
  <c r="E1461" i="7"/>
  <c r="E1462" i="7"/>
  <c r="E1463" i="7"/>
  <c r="E1464" i="7"/>
  <c r="E1465" i="7"/>
  <c r="E1466" i="7"/>
  <c r="E1467" i="7"/>
  <c r="E1468" i="7"/>
  <c r="E1469" i="7"/>
  <c r="E1470" i="7"/>
  <c r="E1471" i="7"/>
  <c r="E1472" i="7"/>
  <c r="E1473" i="7"/>
  <c r="E1474" i="7"/>
  <c r="E1475" i="7"/>
  <c r="E1476" i="7"/>
  <c r="E1477" i="7"/>
  <c r="E1478" i="7"/>
  <c r="E1479" i="7"/>
  <c r="E1480" i="7"/>
  <c r="E1481" i="7"/>
  <c r="E1482" i="7"/>
  <c r="E1483" i="7"/>
  <c r="E1484" i="7"/>
  <c r="E1485" i="7"/>
  <c r="E1486" i="7"/>
  <c r="E1487" i="7"/>
  <c r="E1488" i="7"/>
  <c r="E1489" i="7"/>
  <c r="E1490" i="7"/>
  <c r="E1491" i="7"/>
  <c r="E1492" i="7"/>
  <c r="E1493" i="7"/>
  <c r="E1494" i="7"/>
  <c r="E1495" i="7"/>
  <c r="E1496" i="7"/>
  <c r="E1497" i="7"/>
  <c r="E1498" i="7"/>
  <c r="E1499" i="7"/>
  <c r="E1500" i="7"/>
  <c r="E1501" i="7"/>
  <c r="E1502" i="7"/>
  <c r="E1503" i="7"/>
  <c r="E1504" i="7"/>
  <c r="E1505" i="7"/>
  <c r="E1506" i="7"/>
  <c r="E1507" i="7"/>
  <c r="E1508" i="7"/>
  <c r="E1509" i="7"/>
  <c r="E1510" i="7"/>
  <c r="E1511" i="7"/>
  <c r="E1512" i="7"/>
  <c r="E1513" i="7"/>
  <c r="E1514" i="7"/>
  <c r="E1515" i="7"/>
  <c r="E1516" i="7"/>
  <c r="E1517" i="7"/>
  <c r="E1518" i="7"/>
  <c r="E1519" i="7"/>
  <c r="E1520" i="7"/>
  <c r="E1521" i="7"/>
  <c r="E1522" i="7"/>
  <c r="E1523" i="7"/>
  <c r="E1524" i="7"/>
  <c r="E1525" i="7"/>
  <c r="E1526" i="7"/>
  <c r="E1527" i="7"/>
  <c r="E1528" i="7"/>
  <c r="E1529" i="7"/>
  <c r="E1530" i="7"/>
  <c r="E1531" i="7"/>
  <c r="E1532" i="7"/>
  <c r="E1533" i="7"/>
  <c r="E1534" i="7"/>
  <c r="E1535" i="7"/>
  <c r="E1536" i="7"/>
  <c r="E1537" i="7"/>
  <c r="E1026" i="7"/>
  <c r="E1027" i="7"/>
  <c r="E1028" i="7"/>
  <c r="E1029" i="7"/>
  <c r="E1030" i="7"/>
  <c r="E1031" i="7"/>
  <c r="E1032" i="7"/>
  <c r="E1033" i="7"/>
  <c r="E1034" i="7"/>
  <c r="E1035" i="7"/>
  <c r="E1036" i="7"/>
  <c r="E1037" i="7"/>
  <c r="E1038" i="7"/>
  <c r="E1039" i="7"/>
  <c r="E1040" i="7"/>
  <c r="E1041" i="7"/>
  <c r="E1042" i="7"/>
  <c r="E1043" i="7"/>
  <c r="E1044" i="7"/>
  <c r="E1045" i="7"/>
  <c r="E1046" i="7"/>
  <c r="E1047" i="7"/>
  <c r="E1048" i="7"/>
  <c r="E1049" i="7"/>
  <c r="E1050" i="7"/>
  <c r="E1051" i="7"/>
  <c r="E1052" i="7"/>
  <c r="E1053" i="7"/>
  <c r="E1054" i="7"/>
  <c r="E1055" i="7"/>
  <c r="E1056" i="7"/>
  <c r="E1057" i="7"/>
  <c r="E1058" i="7"/>
  <c r="E1059" i="7"/>
  <c r="E1060" i="7"/>
  <c r="E1061" i="7"/>
  <c r="E1062" i="7"/>
  <c r="E1063" i="7"/>
  <c r="E1064" i="7"/>
  <c r="E1065" i="7"/>
  <c r="E1066" i="7"/>
  <c r="E1067" i="7"/>
  <c r="E1068" i="7"/>
  <c r="E1069" i="7"/>
  <c r="E1070" i="7"/>
  <c r="E1071" i="7"/>
  <c r="E1072" i="7"/>
  <c r="E1073" i="7"/>
  <c r="E1074" i="7"/>
  <c r="E1075" i="7"/>
  <c r="E1076" i="7"/>
  <c r="E1077" i="7"/>
  <c r="E1078" i="7"/>
  <c r="E1079" i="7"/>
  <c r="E1080" i="7"/>
  <c r="E1081" i="7"/>
  <c r="E1082" i="7"/>
  <c r="E1083" i="7"/>
  <c r="E1084" i="7"/>
  <c r="E1085" i="7"/>
  <c r="E1086" i="7"/>
  <c r="E1087" i="7"/>
  <c r="E1088" i="7"/>
  <c r="E1089" i="7"/>
  <c r="E1090" i="7"/>
  <c r="E1091" i="7"/>
  <c r="E1092" i="7"/>
  <c r="E1093" i="7"/>
  <c r="E1094" i="7"/>
  <c r="E1095" i="7"/>
  <c r="E1096" i="7"/>
  <c r="E1097" i="7"/>
  <c r="E1098" i="7"/>
  <c r="E1099" i="7"/>
  <c r="E1101" i="7"/>
  <c r="E1102" i="7"/>
  <c r="E1103" i="7"/>
  <c r="E1104" i="7"/>
  <c r="E1105" i="7"/>
  <c r="E1107" i="7"/>
  <c r="E1108" i="7"/>
  <c r="E1109" i="7"/>
  <c r="E1110" i="7"/>
  <c r="E1111" i="7"/>
  <c r="E1112" i="7"/>
  <c r="E1113" i="7"/>
  <c r="E1114" i="7"/>
  <c r="E1115" i="7"/>
  <c r="E1116" i="7"/>
  <c r="E1117" i="7"/>
  <c r="E1118" i="7"/>
  <c r="E1119" i="7"/>
  <c r="E1120" i="7"/>
  <c r="E1121" i="7"/>
  <c r="E1122" i="7"/>
  <c r="E1123" i="7"/>
  <c r="E1124" i="7"/>
  <c r="E1125" i="7"/>
  <c r="E1126" i="7"/>
  <c r="E1127" i="7"/>
  <c r="E1128" i="7"/>
  <c r="E1129" i="7"/>
  <c r="E1130" i="7"/>
  <c r="E1131" i="7"/>
  <c r="E1132" i="7"/>
  <c r="E1133" i="7"/>
  <c r="E1134" i="7"/>
  <c r="E1135" i="7"/>
  <c r="E1136" i="7"/>
  <c r="E1137" i="7"/>
  <c r="E1138" i="7"/>
  <c r="E1139" i="7"/>
  <c r="E1140" i="7"/>
  <c r="E1141" i="7"/>
  <c r="E1143" i="7"/>
  <c r="E1144" i="7"/>
  <c r="E1145" i="7"/>
  <c r="E1146" i="7"/>
  <c r="E1147" i="7"/>
  <c r="E1149" i="7"/>
  <c r="E1150" i="7"/>
  <c r="E1151" i="7"/>
  <c r="E1152" i="7"/>
  <c r="E1153" i="7"/>
  <c r="E1155" i="7"/>
  <c r="E1156" i="7"/>
  <c r="E1157" i="7"/>
  <c r="E1158" i="7"/>
  <c r="E1159" i="7"/>
  <c r="E1160" i="7"/>
  <c r="E1161" i="7"/>
  <c r="E1162" i="7"/>
  <c r="E1163" i="7"/>
  <c r="E1164" i="7"/>
  <c r="E1165" i="7"/>
  <c r="E1167" i="7"/>
  <c r="E1168" i="7"/>
  <c r="E1169" i="7"/>
  <c r="E1170" i="7"/>
  <c r="E1171" i="7"/>
  <c r="E1173" i="7"/>
  <c r="E1174" i="7"/>
  <c r="E1175" i="7"/>
  <c r="E1176" i="7"/>
  <c r="E1177" i="7"/>
  <c r="E1179" i="7"/>
  <c r="E1180" i="7"/>
  <c r="E1181" i="7"/>
  <c r="E1182" i="7"/>
  <c r="E1183" i="7"/>
  <c r="E1185" i="7"/>
  <c r="E1186" i="7"/>
  <c r="E1187" i="7"/>
  <c r="E1188" i="7"/>
  <c r="E1189" i="7"/>
  <c r="E1190" i="7"/>
  <c r="E1191" i="7"/>
  <c r="E1192" i="7"/>
  <c r="E1193" i="7"/>
  <c r="E1194" i="7"/>
  <c r="E1195" i="7"/>
  <c r="E1197" i="7"/>
  <c r="E1198" i="7"/>
  <c r="E1199" i="7"/>
  <c r="E1200" i="7"/>
  <c r="E1201" i="7"/>
  <c r="E1202" i="7"/>
  <c r="E1203" i="7"/>
  <c r="E1204" i="7"/>
  <c r="E1205" i="7"/>
  <c r="E1206" i="7"/>
  <c r="E1207" i="7"/>
  <c r="E1209" i="7"/>
  <c r="E1210" i="7"/>
  <c r="E1211" i="7"/>
  <c r="E1212" i="7"/>
  <c r="E1213" i="7"/>
  <c r="E1215" i="7"/>
  <c r="E1216" i="7"/>
  <c r="E1217" i="7"/>
  <c r="E1218" i="7"/>
  <c r="E1219" i="7"/>
  <c r="E1221" i="7"/>
  <c r="E1222" i="7"/>
  <c r="E1223" i="7"/>
  <c r="E1224" i="7"/>
  <c r="E1225" i="7"/>
  <c r="E1227" i="7"/>
  <c r="E1228" i="7"/>
  <c r="E1229" i="7"/>
  <c r="E1230" i="7"/>
  <c r="E1231" i="7"/>
  <c r="E1233" i="7"/>
  <c r="E1234" i="7"/>
  <c r="E1235" i="7"/>
  <c r="E1236" i="7"/>
  <c r="E1237" i="7"/>
  <c r="E1239" i="7"/>
  <c r="E1240" i="7"/>
  <c r="E1241" i="7"/>
  <c r="E1242" i="7"/>
  <c r="E1243" i="7"/>
  <c r="E1245" i="7"/>
  <c r="E1246" i="7"/>
  <c r="E1247" i="7"/>
  <c r="E1248" i="7"/>
  <c r="E1249" i="7"/>
  <c r="E1251" i="7"/>
  <c r="E1252" i="7"/>
  <c r="E1253" i="7"/>
  <c r="E1254" i="7"/>
  <c r="E1255" i="7"/>
  <c r="E1257" i="7"/>
  <c r="E1258" i="7"/>
  <c r="E1259" i="7"/>
  <c r="E1260" i="7"/>
  <c r="E1261" i="7"/>
  <c r="E1263" i="7"/>
  <c r="E1264" i="7"/>
  <c r="E1265" i="7"/>
  <c r="E1266" i="7"/>
  <c r="E1267" i="7"/>
  <c r="E1269" i="7"/>
  <c r="E1270" i="7"/>
  <c r="E1271" i="7"/>
  <c r="E1272" i="7"/>
  <c r="E1273" i="7"/>
  <c r="E1275" i="7"/>
  <c r="E1276" i="7"/>
  <c r="E1277" i="7"/>
  <c r="E1278" i="7"/>
  <c r="E1279" i="7"/>
  <c r="E1281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5" i="7"/>
  <c r="E886" i="7"/>
  <c r="E887" i="7"/>
  <c r="E888" i="7"/>
  <c r="E889" i="7"/>
  <c r="E890" i="7"/>
  <c r="E891" i="7"/>
  <c r="E892" i="7"/>
  <c r="E893" i="7"/>
  <c r="E894" i="7"/>
  <c r="E895" i="7"/>
  <c r="E897" i="7"/>
  <c r="E898" i="7"/>
  <c r="E899" i="7"/>
  <c r="E900" i="7"/>
  <c r="E901" i="7"/>
  <c r="E902" i="7"/>
  <c r="E903" i="7"/>
  <c r="E904" i="7"/>
  <c r="E905" i="7"/>
  <c r="E906" i="7"/>
  <c r="E907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1001" i="7"/>
  <c r="E1002" i="7"/>
  <c r="E1003" i="7"/>
  <c r="E1004" i="7"/>
  <c r="E1005" i="7"/>
  <c r="E1006" i="7"/>
  <c r="E1007" i="7"/>
  <c r="E1008" i="7"/>
  <c r="E1009" i="7"/>
  <c r="E1010" i="7"/>
  <c r="E1011" i="7"/>
  <c r="E1012" i="7"/>
  <c r="E1013" i="7"/>
  <c r="E1014" i="7"/>
  <c r="E1015" i="7"/>
  <c r="E1016" i="7"/>
  <c r="E1017" i="7"/>
  <c r="E1018" i="7"/>
  <c r="E1019" i="7"/>
  <c r="E1020" i="7"/>
  <c r="E1021" i="7"/>
  <c r="E1022" i="7"/>
  <c r="E1023" i="7"/>
  <c r="E1024" i="7"/>
  <c r="E1025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3" i="7"/>
  <c r="E4" i="7"/>
  <c r="E5" i="7"/>
  <c r="E6" i="7"/>
  <c r="E7" i="7"/>
  <c r="E10" i="7"/>
  <c r="E12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G1" i="7"/>
  <c r="E1316" i="7" s="1"/>
  <c r="E11" i="7" l="1"/>
  <c r="E2185" i="7"/>
  <c r="E2" i="7"/>
  <c r="E1274" i="7"/>
  <c r="E1250" i="7"/>
  <c r="E1226" i="7"/>
  <c r="E1178" i="7"/>
  <c r="E1154" i="7"/>
  <c r="E1106" i="7"/>
  <c r="E1418" i="7"/>
  <c r="E1394" i="7"/>
  <c r="E1370" i="7"/>
  <c r="E1346" i="7"/>
  <c r="E1322" i="7"/>
  <c r="E1298" i="7"/>
  <c r="E9" i="7"/>
  <c r="E2231" i="7"/>
  <c r="E8" i="7"/>
  <c r="E896" i="7"/>
  <c r="E1280" i="7"/>
  <c r="E1256" i="7"/>
  <c r="E1232" i="7"/>
  <c r="E1208" i="7"/>
  <c r="E1184" i="7"/>
  <c r="E1400" i="7"/>
  <c r="E1376" i="7"/>
  <c r="E1352" i="7"/>
  <c r="E1328" i="7"/>
  <c r="E1304" i="7"/>
  <c r="E1727" i="7"/>
  <c r="E2229" i="7"/>
  <c r="E926" i="7"/>
  <c r="E854" i="7"/>
  <c r="E1262" i="7"/>
  <c r="E1238" i="7"/>
  <c r="E1214" i="7"/>
  <c r="E1166" i="7"/>
  <c r="E1142" i="7"/>
  <c r="E1406" i="7"/>
  <c r="E1382" i="7"/>
  <c r="E1358" i="7"/>
  <c r="E1334" i="7"/>
  <c r="E1310" i="7"/>
  <c r="E1286" i="7"/>
  <c r="E13" i="7"/>
  <c r="E908" i="7"/>
  <c r="E884" i="7"/>
  <c r="E1268" i="7"/>
  <c r="E1244" i="7"/>
  <c r="E1220" i="7"/>
  <c r="E1196" i="7"/>
  <c r="E1172" i="7"/>
  <c r="E1148" i="7"/>
  <c r="E1100" i="7"/>
  <c r="E1412" i="7"/>
  <c r="E1388" i="7"/>
  <c r="E1364" i="7"/>
  <c r="E1340" i="7"/>
  <c r="AW1" i="2"/>
</calcChain>
</file>

<file path=xl/sharedStrings.xml><?xml version="1.0" encoding="utf-8"?>
<sst xmlns="http://schemas.openxmlformats.org/spreadsheetml/2006/main" count="9300" uniqueCount="932">
  <si>
    <t xml:space="preserve">Planned COC </t>
  </si>
  <si>
    <t>COC</t>
  </si>
  <si>
    <t>Blade #</t>
  </si>
  <si>
    <t>TESW</t>
  </si>
  <si>
    <t>LE Trim</t>
  </si>
  <si>
    <t>TE Trim</t>
  </si>
  <si>
    <t>Termal</t>
  </si>
  <si>
    <t>TE Insert</t>
  </si>
  <si>
    <t>Trim  Insp</t>
  </si>
  <si>
    <t>LE Dış</t>
  </si>
  <si>
    <t>TE Dış</t>
  </si>
  <si>
    <t>TE İç</t>
  </si>
  <si>
    <t>RM</t>
  </si>
  <si>
    <t>PS SMT</t>
  </si>
  <si>
    <t>SMT</t>
  </si>
  <si>
    <t>PS LPS</t>
  </si>
  <si>
    <t>SS LPS</t>
  </si>
  <si>
    <t>Direnç</t>
  </si>
  <si>
    <t>Bolt</t>
  </si>
  <si>
    <t>PS Yüzey</t>
  </si>
  <si>
    <t>SS Yüzey</t>
  </si>
  <si>
    <t>LE</t>
  </si>
  <si>
    <t>TE</t>
  </si>
  <si>
    <t>LEP</t>
  </si>
  <si>
    <t>Gri</t>
  </si>
  <si>
    <t>Şerit</t>
  </si>
  <si>
    <t>Boya Insp</t>
  </si>
  <si>
    <t>Tamtur</t>
  </si>
  <si>
    <t>LPS Band</t>
  </si>
  <si>
    <t>Yük Sensörü</t>
  </si>
  <si>
    <t>Vortex</t>
  </si>
  <si>
    <t>Susturucu</t>
  </si>
  <si>
    <t>Tartı</t>
  </si>
  <si>
    <t>TC&amp;Insert</t>
  </si>
  <si>
    <t>Fix</t>
  </si>
  <si>
    <t>Firewall</t>
  </si>
  <si>
    <t>ATAK EKİBİ</t>
  </si>
  <si>
    <t>WLU EKİBİ</t>
  </si>
  <si>
    <t>Sevk</t>
  </si>
  <si>
    <t>Kalan Süre</t>
  </si>
  <si>
    <t>Tamamlanma %</t>
  </si>
  <si>
    <t>Toplam Gecikme</t>
  </si>
  <si>
    <t>Toplam Lead Time</t>
  </si>
  <si>
    <t>Desteklenen Set</t>
  </si>
  <si>
    <t>Notlar</t>
  </si>
  <si>
    <t>Kanatta çalışılmadı</t>
  </si>
  <si>
    <t>Kanat</t>
  </si>
  <si>
    <t>Operasyon</t>
  </si>
  <si>
    <t>Ekip</t>
  </si>
  <si>
    <t>Gecikme Nedeni</t>
  </si>
  <si>
    <t>Gecikme</t>
  </si>
  <si>
    <t>kanatta çalışılmadı</t>
  </si>
  <si>
    <t>Vardiya Aktarımını Aşağıya Doldurun</t>
  </si>
  <si>
    <t>Kanat İçi</t>
  </si>
  <si>
    <t>Hedef:</t>
  </si>
  <si>
    <t>WLU</t>
  </si>
  <si>
    <t>ZIMPARA</t>
  </si>
  <si>
    <t>BOYA</t>
  </si>
  <si>
    <t>FINAL FINISH</t>
  </si>
  <si>
    <t>TE İÇ NCR vardı</t>
  </si>
  <si>
    <t>Sarper Tek / ftek@tpicomposites.com</t>
  </si>
  <si>
    <t>başka kanatta çalışıldı</t>
  </si>
  <si>
    <t>ncr vardı</t>
  </si>
  <si>
    <t>\\10.139.0.9\Media\Public\Sarper\FinishTracker.accdb</t>
  </si>
  <si>
    <t xml:space="preserve">Başka kanatlarda çalışma </t>
  </si>
  <si>
    <t>ZIMPARA EKİBİ</t>
  </si>
  <si>
    <t>2 kişi adam eksikti</t>
  </si>
  <si>
    <t xml:space="preserve">Boyalı insert kaldiginden dolayi ekstra 1 tur daha verilmiştir. </t>
  </si>
  <si>
    <t>FF EKİBİ</t>
  </si>
  <si>
    <t>ESKİ KANAT</t>
  </si>
  <si>
    <t>Vinç Hamlesi</t>
  </si>
  <si>
    <t>İnsert İçi Zengin Reçine</t>
  </si>
  <si>
    <t xml:space="preserve">vinç hamlesi ve malzeme hazırlama yüzey zımparasından dolayı 5 numaraya kadar takılmış geriye kalanı gelen vardıya takmıştır </t>
  </si>
  <si>
    <t xml:space="preserve">bitiş bilgisi geç yazıldığından dolayı </t>
  </si>
  <si>
    <t>SS TE Macun</t>
  </si>
  <si>
    <t>PS TE Macun</t>
  </si>
  <si>
    <t>Braket</t>
  </si>
  <si>
    <t>Görsel</t>
  </si>
  <si>
    <t>Lazer</t>
  </si>
  <si>
    <t xml:space="preserve">kanat pozisyonu uygun değil </t>
  </si>
  <si>
    <t>Kanat İçi Onay</t>
  </si>
  <si>
    <t>sistemsel problem</t>
  </si>
  <si>
    <t>Kalite Personeli Bekleme</t>
  </si>
  <si>
    <t>Kanat pozisyonlarından dolayı platform geçirilememesi</t>
  </si>
  <si>
    <t>BOYA EKİBİ</t>
  </si>
  <si>
    <t>Ncr tamirinden dolayı</t>
  </si>
  <si>
    <t>Kalite Onayı Bekleme</t>
  </si>
  <si>
    <t>Sistemsel Problem</t>
  </si>
  <si>
    <t>elektrik arızası</t>
  </si>
  <si>
    <t xml:space="preserve">kalite personeli bekleme </t>
  </si>
  <si>
    <t xml:space="preserve">vinç hamlesinden dolayı </t>
  </si>
  <si>
    <t>Eski kanat</t>
  </si>
  <si>
    <t>ADAM EKSİKLİĞİ</t>
  </si>
  <si>
    <t xml:space="preserve">Kalite personeli bekleme </t>
  </si>
  <si>
    <t>SİSTEMSEL</t>
  </si>
  <si>
    <t>Kalite personeli bekleme</t>
  </si>
  <si>
    <t>TIR ÇIKIŞINI BEKLEME</t>
  </si>
  <si>
    <t>Fortlift bekleme</t>
  </si>
  <si>
    <t xml:space="preserve">Fortlift bekleme </t>
  </si>
  <si>
    <t>SİSTEMSEL PROBLEM</t>
  </si>
  <si>
    <t>Eksik wortex tutkal işlemi</t>
  </si>
  <si>
    <t>Platform ve Kanat Hamlesi</t>
  </si>
  <si>
    <t>Yüzeydeki Macunlardan Dolayı</t>
  </si>
  <si>
    <t>Sistemsel problem</t>
  </si>
  <si>
    <t xml:space="preserve">parça macun ve gözenek işlemleri yapıldığı için </t>
  </si>
  <si>
    <t>VİNÇ HAMLESİ BEKLEME</t>
  </si>
  <si>
    <t>DOĞAL KÜRLEME</t>
  </si>
  <si>
    <t xml:space="preserve">Vinç halesi ve başka kanatlarda çalışma </t>
  </si>
  <si>
    <t>Platform veVinç Hamlesi</t>
  </si>
  <si>
    <t>kalite bekleme süreci</t>
  </si>
  <si>
    <t>SİSTEME BAŞLAMADAN GİRİLMİŞ</t>
  </si>
  <si>
    <t>planlanan sürede bitirilmiştir</t>
  </si>
  <si>
    <t xml:space="preserve">Vinç hamlesi ve başka kanatlarda çalışma </t>
  </si>
  <si>
    <t xml:space="preserve">Başka kanatlar ve Ncr tamirlerinden dolayı </t>
  </si>
  <si>
    <t>eski kanat</t>
  </si>
  <si>
    <t>MENLİFT YETERSİZLİĞİ</t>
  </si>
  <si>
    <t>MACUN KÜRLEME BEKLEME</t>
  </si>
  <si>
    <t>vınc hamlesi</t>
  </si>
  <si>
    <t>LAZER ARIZASI</t>
  </si>
  <si>
    <t xml:space="preserve">başka kanatlarla çalışma </t>
  </si>
  <si>
    <t xml:space="preserve">saha düzenlemesi </t>
  </si>
  <si>
    <t xml:space="preserve">Platform çekme saha düzenleme </t>
  </si>
  <si>
    <t>rski kanat</t>
  </si>
  <si>
    <t>operasyon bitişi yazılmamış</t>
  </si>
  <si>
    <t xml:space="preserve">Sistemsel hata </t>
  </si>
  <si>
    <t>eski nakat</t>
  </si>
  <si>
    <t xml:space="preserve">Kalite personeli  bekleme </t>
  </si>
  <si>
    <t>Vinç hamlesinden dolayı ,</t>
  </si>
  <si>
    <t xml:space="preserve">Kalite personeli ve vinç hamlesinden dolayı </t>
  </si>
  <si>
    <t xml:space="preserve">Menlift eksikliği </t>
  </si>
  <si>
    <t>kalite onay süreci</t>
  </si>
  <si>
    <t>Operasyon bitişi yazılmamış</t>
  </si>
  <si>
    <t>Macun makinası arızasından dolayı</t>
  </si>
  <si>
    <t>Macun makinası arızası</t>
  </si>
  <si>
    <t xml:space="preserve">Farklı istasyondan dolayı </t>
  </si>
  <si>
    <t xml:space="preserve">eski kanat </t>
  </si>
  <si>
    <t xml:space="preserve">Farklı istasyonda olduğu için </t>
  </si>
  <si>
    <t xml:space="preserve">sistemsel hata </t>
  </si>
  <si>
    <t>adam eksikliği</t>
  </si>
  <si>
    <t xml:space="preserve">Menlift yetersizliğinden dolayı </t>
  </si>
  <si>
    <t>sistemsel hata</t>
  </si>
  <si>
    <t>Sustucu bu sette yok</t>
  </si>
  <si>
    <t>operasyon saatleri paylaşılmamış</t>
  </si>
  <si>
    <t>SİSEMSEL</t>
  </si>
  <si>
    <t xml:space="preserve">Vinç hamlesi bekleme </t>
  </si>
  <si>
    <t xml:space="preserve">vinç hamlesi ve Kalite bekleme </t>
  </si>
  <si>
    <t xml:space="preserve">Vinç hamleseli ve kalite personeli bekleme </t>
  </si>
  <si>
    <t xml:space="preserve">kanat silme </t>
  </si>
  <si>
    <t>macun makine arızası</t>
  </si>
  <si>
    <t>kabarmadan dolayı tekrar zımpara ve macun</t>
  </si>
  <si>
    <t>Kalite beklemeden dolayı bekleme olmuş diğer işlere devam edilmiştir</t>
  </si>
  <si>
    <t>Sistemsel tc kontrol</t>
  </si>
  <si>
    <t>başlangıç saati paylaşılmamış</t>
  </si>
  <si>
    <t xml:space="preserve">Ncr tamilerinden dolayı </t>
  </si>
  <si>
    <t>SİSTEMMSEL PROBLEM</t>
  </si>
  <si>
    <t xml:space="preserve">menlif eksikliği </t>
  </si>
  <si>
    <t>Ncr tamilerinlerinden dolayı</t>
  </si>
  <si>
    <t xml:space="preserve">vinç hamlesi </t>
  </si>
  <si>
    <t>Ncr tamilerinden dolayı</t>
  </si>
  <si>
    <t xml:space="preserve">Vinç hamlesinden dolayı </t>
  </si>
  <si>
    <t>Servis vardiya değişim saatine denk geldiği için bekleme</t>
  </si>
  <si>
    <t>Kanadın doğal kürlemesi bekleme süresi</t>
  </si>
  <si>
    <t>Firewall İşlemlerinde kalitenin susturucu uygunsuzluk durumundan işlemin tekrarlanması</t>
  </si>
  <si>
    <t xml:space="preserve"> 5 S Yapılmasından  Dolayı</t>
  </si>
  <si>
    <t>Kalite Onay Bekleme</t>
  </si>
  <si>
    <t>UT HATASI DURUŞU</t>
  </si>
  <si>
    <t>Vestas Finish Tracker</t>
  </si>
  <si>
    <t>Ekstra yapılan zımpara ve gözenek işlemleri</t>
  </si>
  <si>
    <t>5 S Yapılması nedeni ile</t>
  </si>
  <si>
    <t>başka knatlarda çalışma</t>
  </si>
  <si>
    <t xml:space="preserve">Vinç hamlesi bekleme ve Ncr tamirlerinden dolayı </t>
  </si>
  <si>
    <t>Lazer Tekrarı</t>
  </si>
  <si>
    <t>NCR tamiri</t>
  </si>
  <si>
    <t xml:space="preserve">esktıra tur çıkması </t>
  </si>
  <si>
    <t>Farklı Kanatta Te insert bölgesi trimleme</t>
  </si>
  <si>
    <t>İstasyon</t>
  </si>
  <si>
    <t>Başlangıç</t>
  </si>
  <si>
    <t>Bitiş</t>
  </si>
  <si>
    <t>Gerçekleşen</t>
  </si>
  <si>
    <t>DEMOLD</t>
  </si>
  <si>
    <t>Denetleme hazırlığı</t>
  </si>
  <si>
    <t>denetleme hazırlığı temizlik işlemleri</t>
  </si>
  <si>
    <t>Lazer Geçmemesi</t>
  </si>
  <si>
    <t>Boya Kabarması</t>
  </si>
  <si>
    <t>Kanatta Freze Yapılması ve Operasyonun Erken Başlatılması</t>
  </si>
  <si>
    <t>paylaşılmayan bilgi</t>
  </si>
  <si>
    <t xml:space="preserve">Kanat durumu uygun olmadığından ve menlif yetersiz olduğundan </t>
  </si>
  <si>
    <t xml:space="preserve">Eksik macunlardan dolayı tekrar macun çekildi </t>
  </si>
  <si>
    <t>Macun Makinesi Arızası</t>
  </si>
  <si>
    <t xml:space="preserve">Vinç hamlesinden doalyı </t>
  </si>
  <si>
    <t>bitirilmemiş işlem</t>
  </si>
  <si>
    <t>Analiz Sonuç Bekleme</t>
  </si>
  <si>
    <t>NCR TAMİRİNDEN DOLAYI</t>
  </si>
  <si>
    <t>Kanat Hamlesi ve Onay bekleme</t>
  </si>
  <si>
    <t>Kanada Hamle Yapılması</t>
  </si>
  <si>
    <t>kanat yatırıldığı için gecikme yaşandı</t>
  </si>
  <si>
    <t xml:space="preserve">Kalıp Ncr tarafından taşlama yapıldı </t>
  </si>
  <si>
    <t xml:space="preserve">Ncr tamirinden dolayı </t>
  </si>
  <si>
    <t>Kanat Pozisyonundan dolayı</t>
  </si>
  <si>
    <t>paylaşılmamış saat</t>
  </si>
  <si>
    <t xml:space="preserve">MSA tartımı yapıldığı için yarım bırakıldı </t>
  </si>
  <si>
    <t>macun makinası arızası</t>
  </si>
  <si>
    <t>Kanat yüzeyinde çıkan hatalar ve lep bölgesi zımpara tekrarı yapılmasın dolayı</t>
  </si>
  <si>
    <t>BİLGİ VERİLMEMESİ</t>
  </si>
  <si>
    <t xml:space="preserve">SİSTEMSEL </t>
  </si>
  <si>
    <t>trim sonrası taralıdığı için kanat trim olması beklenmiştir</t>
  </si>
  <si>
    <t>macun kürleme beklenmesi</t>
  </si>
  <si>
    <t>root temizliği</t>
  </si>
  <si>
    <t>kalite bekleme</t>
  </si>
  <si>
    <t>Kanat lazer işlemleri bekleme süreci</t>
  </si>
  <si>
    <t>Lazer Yapılma İşlemi</t>
  </si>
  <si>
    <t>ncr tamirinden dolayı</t>
  </si>
  <si>
    <t>iç onayda ncr açıldı tip pach atıldı</t>
  </si>
  <si>
    <t>diğer kanatlarda ki lazer eksikleri tamamlandığından dolayı kaliteci bekleme</t>
  </si>
  <si>
    <t>servis çıkışından dolayı</t>
  </si>
  <si>
    <t>tracker personeli izinli olduğu için güncellenmemiş</t>
  </si>
  <si>
    <t>güncellenmemiş bilgi</t>
  </si>
  <si>
    <t>sistemsel</t>
  </si>
  <si>
    <t>MACUN KÜRLEMESİ BEKLEME</t>
  </si>
  <si>
    <t>ncr kumaş atımından dolayı operasyon duruşu</t>
  </si>
  <si>
    <t>doğal kürlenme</t>
  </si>
  <si>
    <t>operasyon başlama saati erken başlatılmış</t>
  </si>
  <si>
    <t>vinç hamleleri</t>
  </si>
  <si>
    <t>Tamtur İşlemi</t>
  </si>
  <si>
    <t xml:space="preserve">Kalite Bekleme </t>
  </si>
  <si>
    <t>TC kontrol süreci</t>
  </si>
  <si>
    <t>macun kürleme bekleme</t>
  </si>
  <si>
    <t xml:space="preserve">Farklı Bir Kanatta Çalışma Yapılması </t>
  </si>
  <si>
    <t>Macun Kürleme Bekleme</t>
  </si>
  <si>
    <t xml:space="preserve">macun kürleme </t>
  </si>
  <si>
    <t>Macun Kürlemesi ve Ekstra Gözenek Zımparası</t>
  </si>
  <si>
    <t>ut de tr insert trimi yapıldığı için</t>
  </si>
  <si>
    <t>vardiya aktarım süreci</t>
  </si>
  <si>
    <t>sistemsel veri eksikliği</t>
  </si>
  <si>
    <t>Vardiya değişimi</t>
  </si>
  <si>
    <t>UT deki kanatta te insert kesimi</t>
  </si>
  <si>
    <t>vardiya değişimi</t>
  </si>
  <si>
    <t>Zımpara pach yapıldığından</t>
  </si>
  <si>
    <t>set yaptığı için 1 tur fazladan verildi</t>
  </si>
  <si>
    <t xml:space="preserve">UT de te insert kesimi </t>
  </si>
  <si>
    <t>erken başlatılmış</t>
  </si>
  <si>
    <t>Kalite onay alma süreci</t>
  </si>
  <si>
    <t xml:space="preserve">Denetlemeden dolayı </t>
  </si>
  <si>
    <t>vardiya iş aktarımı</t>
  </si>
  <si>
    <t>kanat doğal kürleme süresi</t>
  </si>
  <si>
    <t xml:space="preserve">Denetlemeden dolayı temizlik yapıldı </t>
  </si>
  <si>
    <t xml:space="preserve">Fortlif bekleme </t>
  </si>
  <si>
    <t>denetleme süreci</t>
  </si>
  <si>
    <t>lazer tekrarlama operasyonu</t>
  </si>
  <si>
    <t>sistemsel veri akış problemi</t>
  </si>
  <si>
    <t>NCR Tamiri</t>
  </si>
  <si>
    <t>Operasyon Bitir İşlemi Yapılmaması</t>
  </si>
  <si>
    <t>Bondcap tamiri ve kürlenme süreci</t>
  </si>
  <si>
    <t>Denetleme Sebebi ile</t>
  </si>
  <si>
    <t>Kalite operasyon tekrarı</t>
  </si>
  <si>
    <t xml:space="preserve">Denetim dolayı temizlik yapılması </t>
  </si>
  <si>
    <t xml:space="preserve">denetleme temizlik nedeniyle gecikme </t>
  </si>
  <si>
    <t>Tamtur Zımpara Ve Boya İşlemi Yapılması</t>
  </si>
  <si>
    <t>Denetleden dolayı</t>
  </si>
  <si>
    <t xml:space="preserve">Denetim den dolayı temizlik yapılması </t>
  </si>
  <si>
    <t xml:space="preserve">Toplantı nedeniyle </t>
  </si>
  <si>
    <t xml:space="preserve">Denetlemeden Dolayı </t>
  </si>
  <si>
    <t>X</t>
  </si>
  <si>
    <t>vardiya aktarımı</t>
  </si>
  <si>
    <t>Sistemsel veri akış problemi</t>
  </si>
  <si>
    <t>kullanılan ekipman problemi</t>
  </si>
  <si>
    <t>Tamtur Kaynaklı Zımpara Ve Boya Operasyonu</t>
  </si>
  <si>
    <t xml:space="preserve">Başlama saati yanlış başlatılmış </t>
  </si>
  <si>
    <t xml:space="preserve">Tamir macun zımparasından dolayı </t>
  </si>
  <si>
    <t>Sistemsel Hata</t>
  </si>
  <si>
    <t xml:space="preserve">Forklift bekleme </t>
  </si>
  <si>
    <t xml:space="preserve">Boya pecleri ve balans basılmasından dolayı </t>
  </si>
  <si>
    <t>NCR Tamiri Nedeniyle Parça Kumaş Atımları</t>
  </si>
  <si>
    <t xml:space="preserve">Platform çekilmesinden dolayı </t>
  </si>
  <si>
    <t>NCR Tamirleri ve Operasyonun Sistemde Bitirilmemesi</t>
  </si>
  <si>
    <t>NCR Tamiri Nedeniyle</t>
  </si>
  <si>
    <t>NCR Tamirlerinden Dolayı</t>
  </si>
  <si>
    <t>Ekstra Yapılan Macun Zımpara Ve Gözenek İşlemleri</t>
  </si>
  <si>
    <t xml:space="preserve">Başlama saati yanlış girilmiş </t>
  </si>
  <si>
    <t>NCR tamirleri</t>
  </si>
  <si>
    <t>macun ,gözenek</t>
  </si>
  <si>
    <t xml:space="preserve">Operasyonun Bitir işlemi Yapılmaması </t>
  </si>
  <si>
    <t>başka kanatlarda çalışma</t>
  </si>
  <si>
    <t xml:space="preserve">Macun Makinesinin Arıza Vermesi </t>
  </si>
  <si>
    <t>tamtur zımpara + boya işlemi ve operasyon bitir işlemi yapılmaması</t>
  </si>
  <si>
    <t xml:space="preserve">Lazer işlemi yapılmadığından dolayı </t>
  </si>
  <si>
    <t xml:space="preserve">Kalite Personel Yetersizliği </t>
  </si>
  <si>
    <t>yemek</t>
  </si>
  <si>
    <t>Zımpara ekibinin kanatta çalışması</t>
  </si>
  <si>
    <t xml:space="preserve">Rood milling bağlanması </t>
  </si>
  <si>
    <t>NCR Tamiri ve Operasyonun Bitir işlemi Girilmemesi</t>
  </si>
  <si>
    <t>Kanat içine Delaminasyon tamiri kumaş atımı ve Kalite personeli yetersizliği</t>
  </si>
  <si>
    <t xml:space="preserve">Vinç hamlesi ve menlift eksikliği </t>
  </si>
  <si>
    <t xml:space="preserve">Kanada Lazer Yapılması, NCR Tamirleri , Ekstra Yapılan Tamir Zımparaları </t>
  </si>
  <si>
    <t xml:space="preserve">lep kabarması ve kalite personeli bekleme Rood milling bağlanması </t>
  </si>
  <si>
    <t>ncr tamir kürleme devam ediyor</t>
  </si>
  <si>
    <t>Gözevek ve macun çekimi</t>
  </si>
  <si>
    <t>Tamtur Kanadında Yüzey Zımparası Yapıldığı İçin</t>
  </si>
  <si>
    <t>Kanat kalite onay süreci</t>
  </si>
  <si>
    <t>1650 ve 10000 arası boyada onay alınaması ve işlemin tekrarı</t>
  </si>
  <si>
    <t xml:space="preserve">Sistemsel Hata </t>
  </si>
  <si>
    <t xml:space="preserve">Lep makinası karışım hatası ve başka kanatlarda çalışma </t>
  </si>
  <si>
    <t>ncr kürleme</t>
  </si>
  <si>
    <t>WLU Sonrası Delbaş ve Onay Alma işlemleri</t>
  </si>
  <si>
    <t xml:space="preserve">Esktıra tür verilmesi </t>
  </si>
  <si>
    <t>ut tarama tekrarlama ve ncr çalışması</t>
  </si>
  <si>
    <t>Ekstra Yapılan Kontroller ve Müdaheleler</t>
  </si>
  <si>
    <t>Ekstra yapılan kontroller ve Müdaheleler</t>
  </si>
  <si>
    <t>veri akış problemi</t>
  </si>
  <si>
    <t>Vardiya Değişimi Sebebiyle</t>
  </si>
  <si>
    <t>Operasyon Bitir İşlemi yapılmaması</t>
  </si>
  <si>
    <t>Boya Tutmamasından dolayı TİP kısmına patch yapılması</t>
  </si>
  <si>
    <t>hatalı giriş</t>
  </si>
  <si>
    <t>boya başlangıç saati hatalı girilmiş</t>
  </si>
  <si>
    <t>başlangıç bitiş saatleri paylaşılmamış</t>
  </si>
  <si>
    <t>Vardiya Değişimi - Haftalık İSG Eğitimi</t>
  </si>
  <si>
    <t>Operasyon Bİtirme İşlemi Yapılmaması</t>
  </si>
  <si>
    <t>lep bölgesi kürleme süresi</t>
  </si>
  <si>
    <t>Kürleme Bekleme</t>
  </si>
  <si>
    <t>Ekstra Yapılan kontrol ve müdaheleler</t>
  </si>
  <si>
    <t>mühendsilik onay bekleme süresi</t>
  </si>
  <si>
    <t>Ekstra yapılan kontrol ve müdaheleler</t>
  </si>
  <si>
    <t>sistemsel veri akışı</t>
  </si>
  <si>
    <t>Personel eksikliği</t>
  </si>
  <si>
    <t xml:space="preserve">Jelkot hatası ve  kalıp çalışmasından sonra kalan  hatalara macun ve gözenek uygulandı </t>
  </si>
  <si>
    <t>YANLIŞ GİRİLMİŞ</t>
  </si>
  <si>
    <t>ncr çalışması</t>
  </si>
  <si>
    <t>Başka kanatlarda çalışma</t>
  </si>
  <si>
    <t>cap kısalığı ve mühendislik onay süreci</t>
  </si>
  <si>
    <t>1650-8000 arası delikler arası ve kumaş hasarı</t>
  </si>
  <si>
    <t>iş kontrollerinde tekrarlanan işlemler</t>
  </si>
  <si>
    <t>274 numaralı kanadın smt triminden dolayı gecikti</t>
  </si>
  <si>
    <t xml:space="preserve">Vinç hamlesi ve menlifk eksikliği vardıya değişikliliği </t>
  </si>
  <si>
    <t xml:space="preserve">Başka kanatlarda çalışma ve pılatform düzeltme </t>
  </si>
  <si>
    <t xml:space="preserve">Over sıprey </t>
  </si>
  <si>
    <t>Sistemsel HATA</t>
  </si>
  <si>
    <t>Operasyon Başlangıç Saati Hatalı Girilmesi</t>
  </si>
  <si>
    <t>ncr çalışma süreci</t>
  </si>
  <si>
    <t>Görülen Hatalara Yapılan Macun İşlemleri</t>
  </si>
  <si>
    <t>Vardiya Değişimi</t>
  </si>
  <si>
    <t>Macun Kürlenme</t>
  </si>
  <si>
    <t>yeni lazer cihazı kontrol aşaması</t>
  </si>
  <si>
    <t>Kalite Personelinin Başka Kanada Çağırılması</t>
  </si>
  <si>
    <t>Kalite Personelinde Yeterli Malzeme Bulunmaması</t>
  </si>
  <si>
    <t>servis saatleri sebebi</t>
  </si>
  <si>
    <t xml:space="preserve">Personel eksikliği </t>
  </si>
  <si>
    <t xml:space="preserve">  </t>
  </si>
  <si>
    <t xml:space="preserve">Parça gözenek macun çekilip zımparası yapıldı kanada geç hava tutuldu </t>
  </si>
  <si>
    <t xml:space="preserve">Deneme yapıldı </t>
  </si>
  <si>
    <t>Operasyon Bitirilmemesi</t>
  </si>
  <si>
    <t xml:space="preserve">Kumaş bekleme </t>
  </si>
  <si>
    <t>Yapılan Kontrol Ve Müdahaleler</t>
  </si>
  <si>
    <t>Yapılan Kontrol ve Müdahaleler</t>
  </si>
  <si>
    <t>Operasyon bitirilmemesi</t>
  </si>
  <si>
    <t>kafes bekleme</t>
  </si>
  <si>
    <t>Yemek Molası</t>
  </si>
  <si>
    <t xml:space="preserve">Kalite personeli başka kanatlarda çalışma </t>
  </si>
  <si>
    <t xml:space="preserve">Tartıda üzerinde  takılamadığı için sabite sedıllara  alındıktan sonra takıldı </t>
  </si>
  <si>
    <t>kalıp holunde beklediği için</t>
  </si>
  <si>
    <t>Boya  Doğal Kürlenme</t>
  </si>
  <si>
    <t>SİSTEMSEL HATA</t>
  </si>
  <si>
    <t xml:space="preserve">TE insert kumaşı kısa ve bond cap te krema taşması </t>
  </si>
  <si>
    <t>sistem hatası</t>
  </si>
  <si>
    <t>SERVİS GİRİŞ ÇIKIŞI OLDUĞU İÇİN</t>
  </si>
  <si>
    <t>başlama saati yanlış</t>
  </si>
  <si>
    <t>vinç hamlesi</t>
  </si>
  <si>
    <t>Operasyon Bitirme İşlemi Yapılmaması</t>
  </si>
  <si>
    <t>tekrardan lep çekilmesi</t>
  </si>
  <si>
    <t>Battaniye Bağlama ve Kumaşın Kürlenmesini Bekleme</t>
  </si>
  <si>
    <t>temas etmeyen insert</t>
  </si>
  <si>
    <t xml:space="preserve">çalışma alanına platform çekme </t>
  </si>
  <si>
    <t xml:space="preserve">kalite bekleme </t>
  </si>
  <si>
    <t>Vakum Hattı Arızası Nedeniyle</t>
  </si>
  <si>
    <t>tamir macunu kürleme bekleme ve reseptor sökülmesi</t>
  </si>
  <si>
    <t>belirtilmemiş</t>
  </si>
  <si>
    <t>BİLİNMİYOR</t>
  </si>
  <si>
    <t>Vardiya Değişimi - Aktarımı</t>
  </si>
  <si>
    <t>Yapılan Kontroller ve Müdahaleler</t>
  </si>
  <si>
    <t>KALİTE BEKLEME</t>
  </si>
  <si>
    <t>Macun Kürlenme Bekleme</t>
  </si>
  <si>
    <t>eğitim nedeni ile gecikme olmuştur</t>
  </si>
  <si>
    <t>Lazer Makinesi Sıfırlama Ayarı</t>
  </si>
  <si>
    <t>Battaniye Bağlama ve Kürlenme Bekleme</t>
  </si>
  <si>
    <t>Çay Molası</t>
  </si>
  <si>
    <t>Lazer Ekipmanı Sıfırlama Ayarı</t>
  </si>
  <si>
    <t>SEBEBİ BİLİYONMİYOR</t>
  </si>
  <si>
    <t>VİNÇ HAMLESİ</t>
  </si>
  <si>
    <t>ncr</t>
  </si>
  <si>
    <t xml:space="preserve">ncr </t>
  </si>
  <si>
    <t>HOL KAPISI ARIZALANMASINDAN DOLAYI TIR ÇIKAMADI</t>
  </si>
  <si>
    <t>KALİTE  - VİNÇ HAMLESİ</t>
  </si>
  <si>
    <t>platform çekme</t>
  </si>
  <si>
    <t xml:space="preserve">Vinç hamlesi </t>
  </si>
  <si>
    <t>kalite</t>
  </si>
  <si>
    <t>kalite  - VİNÇ HAMLESİ</t>
  </si>
  <si>
    <t>PLARFORM ÇEKME</t>
  </si>
  <si>
    <t>platform çeme ve te kalınlığı ölçümünden dolayı</t>
  </si>
  <si>
    <t>PLATFORM ÇEKME</t>
  </si>
  <si>
    <t xml:space="preserve">Pılatfırom çekme </t>
  </si>
  <si>
    <t xml:space="preserve">kafes bekleme </t>
  </si>
  <si>
    <t>KALİTE</t>
  </si>
  <si>
    <t>PLATFORM DİZİLİMİ VE BAŞKA KANATLARDA ÇAILIŞMA</t>
  </si>
  <si>
    <t>bilinmiyor</t>
  </si>
  <si>
    <t>SİSTEM HATASI</t>
  </si>
  <si>
    <t>TİRİM İSTASYONUNDA BEKLEDİĞİ İÇİN</t>
  </si>
  <si>
    <t>tekrar lep atılması</t>
  </si>
  <si>
    <t>PARÇA GOZENEK MACUN CEKİLMESİ</t>
  </si>
  <si>
    <t>BİLİNMİOR</t>
  </si>
  <si>
    <t>TE İNSERT KESİMİNDEN DOLAYI</t>
  </si>
  <si>
    <t>SMT TAMİRİNDEN DOLAYI</t>
  </si>
  <si>
    <t>vınç hmlesi platform çekımı</t>
  </si>
  <si>
    <t>eksik kanat susturucular fix. yapıldığından dolayı</t>
  </si>
  <si>
    <t>EKSİKLERİNDEN DOLAYI</t>
  </si>
  <si>
    <t>KALİTE VİNÇ HAMLESİ</t>
  </si>
  <si>
    <t>kanat ters pozisyonda olması</t>
  </si>
  <si>
    <t>başka kanatta çalısılması</t>
  </si>
  <si>
    <t>Hatalı Susturucu Montajı ve Vinç Hamleleri</t>
  </si>
  <si>
    <t>Eksik İşlemlerin yapılması ve kalite onayı</t>
  </si>
  <si>
    <t xml:space="preserve">Yetersiz personel </t>
  </si>
  <si>
    <t>Vinç hamlesi ve kanat pozisyonu uygun olmadığından</t>
  </si>
  <si>
    <t xml:space="preserve">Platform düzenleme </t>
  </si>
  <si>
    <t xml:space="preserve">KALİTE </t>
  </si>
  <si>
    <t>kürleme bekleme</t>
  </si>
  <si>
    <t xml:space="preserve">Yapışmama ncr işlemi yapıldığından dolayı </t>
  </si>
  <si>
    <t>KANAT TARTIDA OLDUGU İÇN</t>
  </si>
  <si>
    <t>insertler e temas etmediği için 1 tur fazla verildi</t>
  </si>
  <si>
    <t>sıstemsel hata</t>
  </si>
  <si>
    <t>KALİTE BEKLEME   VE EĞİTİM</t>
  </si>
  <si>
    <t>Tekrar Yapılan Macun Çekimleri ve Zımpara</t>
  </si>
  <si>
    <t>Sistemssel Hata</t>
  </si>
  <si>
    <t>VİNÇ HAMLESİ.</t>
  </si>
  <si>
    <t>dgd</t>
  </si>
  <si>
    <t>bilinmir</t>
  </si>
  <si>
    <t>T</t>
  </si>
  <si>
    <t>Easy Lazer Aleti Sıfırlama Ayarı</t>
  </si>
  <si>
    <t>bıçak değişimi</t>
  </si>
  <si>
    <t>Yapılan Kontroller Ve Müdahaleler</t>
  </si>
  <si>
    <t>eleman eksikliği</t>
  </si>
  <si>
    <t>MACUN ÇEKİMİ NEDENİYLE</t>
  </si>
  <si>
    <t>SİSTEMSL</t>
  </si>
  <si>
    <t>BASKA KANATTA TRİM YAPILMASI</t>
  </si>
  <si>
    <t>SİSTEMSEL,</t>
  </si>
  <si>
    <t>Eksik Susturucuları Tamamlama ve Vinç Hamlesi</t>
  </si>
  <si>
    <t>Sistemsel hata</t>
  </si>
  <si>
    <t>Susturucaların Sökülüp Yeniden Montaj Yapılması</t>
  </si>
  <si>
    <t>Macun Kürkenme ve Vinç Hamlesi</t>
  </si>
  <si>
    <t>baska kamnatta calısma</t>
  </si>
  <si>
    <t>baska kanatta calışma</t>
  </si>
  <si>
    <t>tanımsız süreden dolayı</t>
  </si>
  <si>
    <t xml:space="preserve">baska kanatta calışma </t>
  </si>
  <si>
    <t>baska kanatlard calısma</t>
  </si>
  <si>
    <t>farklı kanatta trim sebebeiyle</t>
  </si>
  <si>
    <t>başka kanatta trim yapılması</t>
  </si>
  <si>
    <t>ELEMAN EKSİKLİĞİ</t>
  </si>
  <si>
    <t>Kanat Temizleme</t>
  </si>
  <si>
    <t>Easy Lazer Aparatı Sıfırlama Ayarı</t>
  </si>
  <si>
    <t>BASKA KANATTA CALISMA</t>
  </si>
  <si>
    <t>BASKA KANATTA CALIŞMA</t>
  </si>
  <si>
    <t>BASKA KANATLARDA CALIŞMA</t>
  </si>
  <si>
    <t>TIR BEKLEME</t>
  </si>
  <si>
    <t>fazladan 1 tur</t>
  </si>
  <si>
    <t>baska anatta calısma</t>
  </si>
  <si>
    <t>baska kanatta calısma</t>
  </si>
  <si>
    <t>baska nkanatta calışma</t>
  </si>
  <si>
    <t>sıstemsel</t>
  </si>
  <si>
    <t>B SCAN CİHAZI KALIP HOLUNDE OLDUĞU İÇİN</t>
  </si>
  <si>
    <t>b scan cihazı kalıp holunde olduğu için</t>
  </si>
  <si>
    <t>Farklı Bir Kanadın Firewall Onayı Alınması</t>
  </si>
  <si>
    <t>Eksik Montaj</t>
  </si>
  <si>
    <t>Lep Bölgesi Tekrar Zımpara Yapımı</t>
  </si>
  <si>
    <t xml:space="preserve">YANLIŞ TARİH </t>
  </si>
  <si>
    <t xml:space="preserve">sistemsel </t>
  </si>
  <si>
    <t>KALİTE BEKLEME GEÇİKMESİ</t>
  </si>
  <si>
    <t>baska kanatlarda calışma</t>
  </si>
  <si>
    <t>FAZLA TUR VERİLMESİNDEN DOLAYI</t>
  </si>
  <si>
    <t>baska kanatta trim yapılması</t>
  </si>
  <si>
    <t>MACUN KÜRLENME</t>
  </si>
  <si>
    <t xml:space="preserve">GÖZENEK HATALARI </t>
  </si>
  <si>
    <t xml:space="preserve">SİSTEMSEL HATA </t>
  </si>
  <si>
    <t>Yanlış Operasyon Başlatılması</t>
  </si>
  <si>
    <t>Macun kürlenme</t>
  </si>
  <si>
    <t>sevisler nedeniyle</t>
  </si>
  <si>
    <t xml:space="preserve">yoğunluk adam yetersizliği </t>
  </si>
  <si>
    <t xml:space="preserve">SİSTEMSEL HATA TARİH SAAT DOĞRU </t>
  </si>
  <si>
    <t>Sistemel Hata</t>
  </si>
  <si>
    <t>mola</t>
  </si>
  <si>
    <t>gözenek işlemi yapılması</t>
  </si>
  <si>
    <t>BASKA KANATTA TRİM</t>
  </si>
  <si>
    <t>Bitirilmemiş İşlem</t>
  </si>
  <si>
    <t>saat belirtilmemiş</t>
  </si>
  <si>
    <t>TE DIŞ SMDRY NCR  NEDENİYLE</t>
  </si>
  <si>
    <t>BASKA KANATLARA CALIŞMA</t>
  </si>
  <si>
    <t>süre belirtilmemiş</t>
  </si>
  <si>
    <t xml:space="preserve">Kanat içine ncr açıldığından dolayı </t>
  </si>
  <si>
    <t xml:space="preserve">Kürleme bekleme </t>
  </si>
  <si>
    <t>Vardiya değişimi - Aktarımı</t>
  </si>
  <si>
    <t>Yemek Molası ve Çay Molası</t>
  </si>
  <si>
    <t>Başka Kanatta Te insert Bölgesi Trimleme</t>
  </si>
  <si>
    <t>Bilinmiyor</t>
  </si>
  <si>
    <t>Yemek Ve Çay Molası</t>
  </si>
  <si>
    <t xml:space="preserve">KAFES BEKLEME </t>
  </si>
  <si>
    <t>SİSTEMSEİ</t>
  </si>
  <si>
    <t>BASKA VARDİYADA BASLANDIĞI İÇİN NEDENİ BİLİNMİYOR</t>
  </si>
  <si>
    <t>sistmsel</t>
  </si>
  <si>
    <t>ÖNCEKİ VARDİYADA TAMAMLANDIĞI İÇİN BİLİNMİYOR</t>
  </si>
  <si>
    <t>Haftalık İSG Eğitimi</t>
  </si>
  <si>
    <t>Hatta Elektrik Olmaması</t>
  </si>
  <si>
    <t>bitis zamanı bilgisi paylasılmamıs</t>
  </si>
  <si>
    <t>bitiş bilgisi paylasılmadığı için</t>
  </si>
  <si>
    <t>?</t>
  </si>
  <si>
    <t>SİSTEM HATASI,</t>
  </si>
  <si>
    <t>Easy Lazer aparatı sıfırlama ayarı</t>
  </si>
  <si>
    <t>NCR DAN DOLAYI</t>
  </si>
  <si>
    <t>sistem</t>
  </si>
  <si>
    <t>SİSTMSEL</t>
  </si>
  <si>
    <t>Easy Laser Aparatı Sıfırlama Ayarı</t>
  </si>
  <si>
    <t>sistemsel hata,</t>
  </si>
  <si>
    <t>sisteö</t>
  </si>
  <si>
    <t>backa kanatta calışma</t>
  </si>
  <si>
    <t>ncr onay süreci</t>
  </si>
  <si>
    <t>Yapılan Müdahale ve Kontroller</t>
  </si>
  <si>
    <t>Yapılan Müdahaleler ve Kontroller</t>
  </si>
  <si>
    <t>Kanat İçi NCR + Kumaş Hataları + Toplantı</t>
  </si>
  <si>
    <t>Kalite Onayı Alma Süreci</t>
  </si>
  <si>
    <t>SİSTEM</t>
  </si>
  <si>
    <t>MOLA</t>
  </si>
  <si>
    <t xml:space="preserve">personel eksikliğinden vinç hamlesi yapılamadığı için </t>
  </si>
  <si>
    <t xml:space="preserve">kaliyte </t>
  </si>
  <si>
    <t xml:space="preserve">sistemsel geçikme </t>
  </si>
  <si>
    <t>sistemsel geçikme</t>
  </si>
  <si>
    <t>Kanat Hamlesi</t>
  </si>
  <si>
    <t>BASKA KANNATTA CALIŞMA</t>
  </si>
  <si>
    <t>VİNÇ BEKLENTİ</t>
  </si>
  <si>
    <t>s</t>
  </si>
  <si>
    <t>kanatta lep boya işlemi</t>
  </si>
  <si>
    <t>SİSİTEMSEL</t>
  </si>
  <si>
    <t>SİSTMSEL HATA</t>
  </si>
  <si>
    <t>???</t>
  </si>
  <si>
    <t>EKSIK VERİ GİRİSİ</t>
  </si>
  <si>
    <t>kanat içi işlemler</t>
  </si>
  <si>
    <t>SİSTEM HATALI</t>
  </si>
  <si>
    <t>Ncr Dan Dolayı</t>
  </si>
  <si>
    <t>PERSONEL EKSIKLIGI</t>
  </si>
  <si>
    <t xml:space="preserve">GEÇİKME </t>
  </si>
  <si>
    <t>PLATFORM</t>
  </si>
  <si>
    <t>vinç</t>
  </si>
  <si>
    <t>ELEKTRİK ARIZA</t>
  </si>
  <si>
    <t>Elektri arızası</t>
  </si>
  <si>
    <t>platform</t>
  </si>
  <si>
    <t>,</t>
  </si>
  <si>
    <t xml:space="preserve">SİSTEMSEL GEÇİKME </t>
  </si>
  <si>
    <t>SİSETEM</t>
  </si>
  <si>
    <t>BASKA KANATTA ÇALIŞMA</t>
  </si>
  <si>
    <t>SD</t>
  </si>
  <si>
    <t>Personel Eksikliğinden Dolayı</t>
  </si>
  <si>
    <t xml:space="preserve">b yuzeyi marker izleri yüzünden </t>
  </si>
  <si>
    <t xml:space="preserve">mola </t>
  </si>
  <si>
    <t>Tekrar macun uygulandı</t>
  </si>
  <si>
    <t>yemek molası</t>
  </si>
  <si>
    <t>Smt Trimleme</t>
  </si>
  <si>
    <t xml:space="preserve">sistemsel hata normal de 40 dk sürdü </t>
  </si>
  <si>
    <t>Easy Lazer Aparat Sıfırlama Ayarı</t>
  </si>
  <si>
    <t>kürleme bağlandığı için geçikme yaşanmıştır</t>
  </si>
  <si>
    <t xml:space="preserve">kürleme bağlama </t>
  </si>
  <si>
    <t>belirsiz</t>
  </si>
  <si>
    <t>KÜRLEME BAĞLAMA.</t>
  </si>
  <si>
    <t>kanattaki ncr sebebiyle gecikme yaşandı</t>
  </si>
  <si>
    <t>baska kanatta calıma</t>
  </si>
  <si>
    <t>Başka kanatta çalışma</t>
  </si>
  <si>
    <t>VARDİYA AKTARIMI</t>
  </si>
  <si>
    <t>-</t>
  </si>
  <si>
    <t>Sistemsel</t>
  </si>
  <si>
    <t>.</t>
  </si>
  <si>
    <t>slot değişikliği</t>
  </si>
  <si>
    <t>2 kanatta çalışılıyor</t>
  </si>
  <si>
    <t>vardiya deviri</t>
  </si>
  <si>
    <t>R.M Makinesi Arızası</t>
  </si>
  <si>
    <t>NCR tamirlerinden dolay</t>
  </si>
  <si>
    <t>Boşta Tır olmadığından dolayı</t>
  </si>
  <si>
    <t>vardiya değişim</t>
  </si>
  <si>
    <t xml:space="preserve">Kumaş Atımından Dolayı </t>
  </si>
  <si>
    <t>BASKA KANATTA  CALIŞMA</t>
  </si>
  <si>
    <t>Vardiya Değişimi - Macun kürleme</t>
  </si>
  <si>
    <t>SİSTEM YÜZÜNDEN</t>
  </si>
  <si>
    <t>Kanat İçi NCR</t>
  </si>
  <si>
    <t>Ssitemsel</t>
  </si>
  <si>
    <t>Kanat İçi Ncr Sebebiyle Onay Alınma Süreci</t>
  </si>
  <si>
    <t>kürleme bağlama</t>
  </si>
  <si>
    <t xml:space="preserve">Kanat içi NCR </t>
  </si>
  <si>
    <t>Vardiya Değişimi ve Başka kanatta çalışma</t>
  </si>
  <si>
    <t>Çalışılan Kanadın Üstünden Kanat Geçmesi</t>
  </si>
  <si>
    <t>Reseptörlerin Tekrar Takılması</t>
  </si>
  <si>
    <t>extra tur verilmesi</t>
  </si>
  <si>
    <t>217 ve 518 numaralı kanatlarda calışma oldugu için</t>
  </si>
  <si>
    <t>Ps yüzeyinde Fazla Gözenek olması</t>
  </si>
  <si>
    <t>21:00-22:00 arası</t>
  </si>
  <si>
    <t>Pembe Dağıtıcılardan Dolayı</t>
  </si>
  <si>
    <t>KANAT YERİ DEHĞİŞTİĞİ İÇİN</t>
  </si>
  <si>
    <t>gecikme yok sistemsel</t>
  </si>
  <si>
    <t>gecikme yok sistemsel hata</t>
  </si>
  <si>
    <t>VARDİYA DEĞİŞİMİ</t>
  </si>
  <si>
    <t>kesim denemesi yapıldı</t>
  </si>
  <si>
    <t>ncr dolayı paket yapıldı onay alınmadı</t>
  </si>
  <si>
    <t>macun tekrarı</t>
  </si>
  <si>
    <t>0</t>
  </si>
  <si>
    <t>Malzeme Eksikliği</t>
  </si>
  <si>
    <t>Touch up onay</t>
  </si>
  <si>
    <t>TE Insert Trim</t>
  </si>
  <si>
    <t>SMT Trim</t>
  </si>
  <si>
    <t>Root Trim</t>
  </si>
  <si>
    <t xml:space="preserve">Extra tur yapılmıştır </t>
  </si>
  <si>
    <t xml:space="preserve">hazırlık </t>
  </si>
  <si>
    <t>kanat içi ncr</t>
  </si>
  <si>
    <t>vinç hamlesi ve kalite onayı beklendi</t>
  </si>
  <si>
    <t xml:space="preserve">8000 de ut tararması vardı </t>
  </si>
  <si>
    <t>ncr sebebiyle geçikme yaşanmaıştır</t>
  </si>
  <si>
    <t>ncr sebebiyle geçikme yaşanmıştır</t>
  </si>
  <si>
    <t xml:space="preserve">BAŞKA KANATTA ÇALIŞMA YAPILDI </t>
  </si>
  <si>
    <t xml:space="preserve">sistemsel hata gecikme yoktur </t>
  </si>
  <si>
    <t>Bitiş Saati Paylaşımı Yapılmadığı İçin</t>
  </si>
  <si>
    <t>BAŞKA KANATTA ÇALIŞMA YAPILDI</t>
  </si>
  <si>
    <t>KALİTE BEKLEME SEBEBİ İLE GECİKME YAŞANMIŞTIR.</t>
  </si>
  <si>
    <t>Vinç Hamlesi ve Lep Boyasından Dolayı</t>
  </si>
  <si>
    <t>Vardiya Değişimi ve Boltlara Macun Çekilmesi</t>
  </si>
  <si>
    <t>baska kanata vacalışma</t>
  </si>
  <si>
    <t>c vardiyası denetim temizlik</t>
  </si>
  <si>
    <t>parçalı çalışıldı,vardiya aktarımı yapıldı</t>
  </si>
  <si>
    <t>NCR sebebiyle</t>
  </si>
  <si>
    <t>freze esnasında arıza verdiği için gecikme olmuştur</t>
  </si>
  <si>
    <t>ut taraması ve ncr sebebiyle gecikme yaşanmıştır</t>
  </si>
  <si>
    <t xml:space="preserve">kanat zımparaya geç geldi   .... te laminasyon kumaşı zımpara da atıldığı için zımparasını yapamadık </t>
  </si>
  <si>
    <t>kesim denemesi ve 534 ınsert trim işlemi</t>
  </si>
  <si>
    <t>15 dk kalite beklendi</t>
  </si>
  <si>
    <t xml:space="preserve">Scoch işlemi sonradan tamamlandı </t>
  </si>
  <si>
    <t xml:space="preserve">kürleme hazırlık </t>
  </si>
  <si>
    <t>Kesim Denemesi</t>
  </si>
  <si>
    <t>hazırlık</t>
  </si>
  <si>
    <t>kesim denemesi</t>
  </si>
  <si>
    <t>Başlangıç Saati Yanlış Belirtilmesi</t>
  </si>
  <si>
    <t>ilave 1 ekstra tur verildi</t>
  </si>
  <si>
    <t>20.02.2022 saat 22:20 de başladı.gecikme yoktur.Başlangıç saati yanlış.</t>
  </si>
  <si>
    <t>kalite beklendi</t>
  </si>
  <si>
    <t>te wep ınsört onayı geç alınmıştır</t>
  </si>
  <si>
    <t>fixtür için boya onayı beklendi susturucuların tamamlanması gecikti</t>
  </si>
  <si>
    <t>DELAM NCR NEDENİYLE</t>
  </si>
  <si>
    <t>Vinç Hamlesi ve Susturucu Bölgesinde NCR Tamiri</t>
  </si>
  <si>
    <t>yeterli battaniye olmadığı için aktarma yapılıyor,kürleme parçalı verildi</t>
  </si>
  <si>
    <t>tıp tarafında smt tamiri sebebiyle</t>
  </si>
  <si>
    <t>te kalınlık ncr</t>
  </si>
  <si>
    <t xml:space="preserve">B YÜZEYİ NCR TAMİRİ VE KÜRLEME </t>
  </si>
  <si>
    <t>3 ASAMALI NCR DAN DOLAYI</t>
  </si>
  <si>
    <t>ekstra tur</t>
  </si>
  <si>
    <t>NCR tamirlerinden dolayı</t>
  </si>
  <si>
    <t>bilgi eksikliği bitiş bilgisi verilmedi</t>
  </si>
  <si>
    <t xml:space="preserve">root bölgesinde ncr </t>
  </si>
  <si>
    <t>NCR</t>
  </si>
  <si>
    <t>İŞLEMİN YANLIŞ BAŞLATILMASI</t>
  </si>
  <si>
    <t>Varidya Değişimi</t>
  </si>
  <si>
    <t>NCR TAMİRİ VE KALİTE ONAY SÜRECİ</t>
  </si>
  <si>
    <t>21.02.2022 D vardiyası 16:25-17:30 arası işlem yapılmıştır</t>
  </si>
  <si>
    <t>kesim denemeleri</t>
  </si>
  <si>
    <t>başlangıç saati yanlış belirtilmiş.20:50 -22:00</t>
  </si>
  <si>
    <t>KESİM DENEMESİ</t>
  </si>
  <si>
    <t>B YÜZEYİ NCR TAMİRİNDEN DOLAYI</t>
  </si>
  <si>
    <t>Başlangıç Saati Yanlış Girilmesi</t>
  </si>
  <si>
    <t>NCR SEBEBİYLE</t>
  </si>
  <si>
    <t>2 EKSTRA TUR</t>
  </si>
  <si>
    <t>Reseptör Sökülüp Yeniden Takılması</t>
  </si>
  <si>
    <t>bildirilmedi</t>
  </si>
  <si>
    <t>belirtilmemiş(gece vardiyası C)</t>
  </si>
  <si>
    <t>kanat yanına platform yerleştiremediklerinden dolayı (A vardiyası)</t>
  </si>
  <si>
    <t>NCR TAMİRLERİ VE ONAY ALMA SÜRECİ</t>
  </si>
  <si>
    <t>Vinç Hamlesi ve Kanada Lazer Yapılması</t>
  </si>
  <si>
    <t>B YÜZEYİ NCR VE ONAY SÜRECİ</t>
  </si>
  <si>
    <t xml:space="preserve">2 saat A onayı 1 saat B onayı </t>
  </si>
  <si>
    <t>80.900-80.000 ARASI SONRADAN TAMAMLANDI</t>
  </si>
  <si>
    <t>NCR TAMİRİ</t>
  </si>
  <si>
    <t>Lep Zımpara ve Macun Çekimi</t>
  </si>
  <si>
    <t>root infüzyon mech tamiri beklendi</t>
  </si>
  <si>
    <t>belirtilmemiş c vardiyası</t>
  </si>
  <si>
    <t>BİTİŞ BİLGİSİ VERİLMEDİ (B VARDİYASI ZIMPARA)</t>
  </si>
  <si>
    <t>BİTİŞ SAATİ BİLDİRİLMEDİ(B VARDİYASI)</t>
  </si>
  <si>
    <t>B YÜZEYİ NCR</t>
  </si>
  <si>
    <t xml:space="preserve">bildirilmedi </t>
  </si>
  <si>
    <t>BELİRTİLMEMİŞ</t>
  </si>
  <si>
    <t>vinç hamlasi beklendi</t>
  </si>
  <si>
    <t>Kesim denemesi</t>
  </si>
  <si>
    <t>başlangıç saati 21:00</t>
  </si>
  <si>
    <t>00:15-02:20 27.02.2022 C VARDİYASI</t>
  </si>
  <si>
    <t>v1.6</t>
  </si>
  <si>
    <t>SİSTEM OTOMATİK BAŞLATIYOR</t>
  </si>
  <si>
    <t>BİTİŞ BİLGİSİ VERİLMEDİ</t>
  </si>
  <si>
    <t>BİLGİSİ VERİLMEDİ</t>
  </si>
  <si>
    <t>BİLGİ VERİLMEDİ</t>
  </si>
  <si>
    <t>ncr vardı bitiş bilgisi verilmedi</t>
  </si>
  <si>
    <t>ncr vardı bitiş bilgisi verilmedi kanat sevk olduğu için kapatıldı</t>
  </si>
  <si>
    <t>bitiş bilgisi verilmemiştir</t>
  </si>
  <si>
    <t>BİTİŞ BİLGİSİ VERİLMEMİŞTİR</t>
  </si>
  <si>
    <t>eksik bilgi</t>
  </si>
  <si>
    <t>VARDİYA DEĞİŞİMİ / AKTARIMI</t>
  </si>
  <si>
    <t>c vardiyası başladı ama geçen 2 vardiya devam ettirmemiş bu sebeble geçikme yaşanmıştır</t>
  </si>
  <si>
    <t>ncr bolt tamirleri</t>
  </si>
  <si>
    <t>PERSONEL EKSİKLİĞİ</t>
  </si>
  <si>
    <t>bitiş ilgisi verilmemiştir</t>
  </si>
  <si>
    <t>bitiş bilgisi verilmemiş</t>
  </si>
  <si>
    <t>BİTİŞ BİLDİRİLMEDİ</t>
  </si>
  <si>
    <t>sebebi belirtilmemiş</t>
  </si>
  <si>
    <t>BİTİŞ BİLGİSİ VER,LMEDİ</t>
  </si>
  <si>
    <t>BİTİRME BİLGİSİ BİLDİRİLMEDİ</t>
  </si>
  <si>
    <t>BİTİŞ BİLGİSİ VERİLMEİ</t>
  </si>
  <si>
    <t>sistem hata</t>
  </si>
  <si>
    <t>vinç halesi ve tartım</t>
  </si>
  <si>
    <t>BİTİŞ BİLGİSİ BİLDİRİLMEDİ</t>
  </si>
  <si>
    <t>552 NOLU KANADIN TE İNSORT TRİMİ</t>
  </si>
  <si>
    <t>Ç</t>
  </si>
  <si>
    <t>kalite yoğunluğu nedeniyle</t>
  </si>
  <si>
    <t>KESİME KALIPTA BASLANMADI</t>
  </si>
  <si>
    <t>KANAT POZİSYONU VE VİNÇ HAMLESİ</t>
  </si>
  <si>
    <t>başlangıç tarihi yanlış</t>
  </si>
  <si>
    <t>TE İNSERT KESİMİ VE KESİM DENEMESİ SEBEBİYLE GECİKME YAŞANMIŞTIR</t>
  </si>
  <si>
    <t>ncr tamiri sebebiyle</t>
  </si>
  <si>
    <t>YÜZEYDE BOZUKLUK NEDENİYLE EKSTRA TUR VERMEK</t>
  </si>
  <si>
    <t>ncr tamiri olduğu için geçikme yaşanmıştır</t>
  </si>
  <si>
    <t>ncr tamiri sebebiyle geçikme yaşanmıştır</t>
  </si>
  <si>
    <t>BELİRTİLMEDİ</t>
  </si>
  <si>
    <t>FARKLI KANATTA TE İNSERT TRİMLEME</t>
  </si>
  <si>
    <t>İç Kablo Montaj Vinç Hamlesi Kalilte Bekleme</t>
  </si>
  <si>
    <t>bitiş bigisi verilmedi</t>
  </si>
  <si>
    <t>BAŞKA KANATTA ÇALIŞILDI SONRADAN TAMAMLANDI</t>
  </si>
  <si>
    <t>kalite geçikmesi ncr açıldığı için</t>
  </si>
  <si>
    <t>YANLIŞ TARİH YAZIMI</t>
  </si>
  <si>
    <t>adam sayısı 1 kişi olduğu için geçikme yaşanmıştır</t>
  </si>
  <si>
    <t>558 NO KANADIN T İNS.TRİMİ</t>
  </si>
  <si>
    <t>kanat wlu da, kısıtlı çalışıldığı için</t>
  </si>
  <si>
    <t>ONAY ALMA SÜRECİ</t>
  </si>
  <si>
    <t>battaniye eksik</t>
  </si>
  <si>
    <t>2 kanatta çalışma</t>
  </si>
  <si>
    <t>diğer vardiya yaptığı için bilinmiyor bilgi yok</t>
  </si>
  <si>
    <t>kanadın ekstra ölçümleri olduğu için</t>
  </si>
  <si>
    <t>PARÇALI ÇALIŞILDI</t>
  </si>
  <si>
    <t>VARDİYA DEĞİŞİMİ/AKTARIMI</t>
  </si>
  <si>
    <t>bitiş bilgisi gelmedi kanat sevk oldu</t>
  </si>
  <si>
    <t>bitiş bilgisi verilmedi kanat sevk oldu</t>
  </si>
  <si>
    <t>BİTİŞ BİLGİSİ YOK</t>
  </si>
  <si>
    <t>BAŞLANGIÇ SAATİ YANLIŞ BELİRTİLMİŞ</t>
  </si>
  <si>
    <t>1 kişi olduğu için</t>
  </si>
  <si>
    <t xml:space="preserve">2 adet ncr açıldı </t>
  </si>
  <si>
    <t>Vardiya Değişimi / Kürleme Bekleme</t>
  </si>
  <si>
    <t>SİSİTEM</t>
  </si>
  <si>
    <t>ss platform arızası sebebiyle</t>
  </si>
  <si>
    <t>te insert kesimi sebebiyle</t>
  </si>
  <si>
    <t>kaliteci beklendi</t>
  </si>
  <si>
    <t>makına arızası</t>
  </si>
  <si>
    <t>bitiş bilgisi verilmedi</t>
  </si>
  <si>
    <t xml:space="preserve">kalite yoğunluğu nedeni ile </t>
  </si>
  <si>
    <t xml:space="preserve">kesim denemesi </t>
  </si>
  <si>
    <t>ekstra 1 tur</t>
  </si>
  <si>
    <t>insert kesimi</t>
  </si>
  <si>
    <t>RM arıza</t>
  </si>
  <si>
    <t>insert kesimi sebebiyle</t>
  </si>
  <si>
    <t xml:space="preserve">KAFESDEN MALZEME ALMA </t>
  </si>
  <si>
    <t>kesim denemesi ve 579 te ınsert trim çalışma</t>
  </si>
  <si>
    <t xml:space="preserve">vardiya aktarımı ve t insört kesimi </t>
  </si>
  <si>
    <t>ps yüzey ncr var onay alınınca kapatılacak.</t>
  </si>
  <si>
    <t>Kürleme geç verildi</t>
  </si>
  <si>
    <t>insortlerde set yaptıgı için tur hızı yavaş verildi</t>
  </si>
  <si>
    <t>sistemsel hata geçikme yok</t>
  </si>
  <si>
    <t>ONAY SÜRECİ</t>
  </si>
  <si>
    <t>bitiş bilgisi verilmedi,kanat sevk olduğu için kapatıldı.</t>
  </si>
  <si>
    <t>BİTİŞ SAATİ BELİRTİLMEMİŞTİR.</t>
  </si>
  <si>
    <t>KÜRLEME BEKLEME</t>
  </si>
  <si>
    <t>BASLANGIÇ TARİH VE SAATİ YANLIŞ YAZILDI DOGRU BASLANGIÇ SAAT VE TARİHİ :20.03.2022 00:30</t>
  </si>
  <si>
    <t>tarih yanlış yazıldı gecikme ypok dogru tarih 19.03 2022 10:40</t>
  </si>
  <si>
    <t xml:space="preserve">vardiya aktarımı kesim denemesi </t>
  </si>
  <si>
    <t xml:space="preserve">vardiya değişimi kesim denemesi </t>
  </si>
  <si>
    <t>ps lps t1 t2 ncr var tamamlanınca kapatılacak</t>
  </si>
  <si>
    <t>bolt doğru baslangıç saati 11:30</t>
  </si>
  <si>
    <t xml:space="preserve">te dış ncr </t>
  </si>
  <si>
    <t xml:space="preserve">lep tipte ncr var </t>
  </si>
  <si>
    <t>YÜK SENSÖRÜ yanlış kaydedıldisilincek</t>
  </si>
  <si>
    <t>FİXTUR 03.03.04.2022 08:20/09:20 DUZELTME</t>
  </si>
  <si>
    <t>görselbaslangıç doğru saati 02:00</t>
  </si>
  <si>
    <t>kanat boyaya girdi kürleme sonradan verildi</t>
  </si>
  <si>
    <t>GÖRSEL KANADINDA ÇALIŞMA</t>
  </si>
  <si>
    <t>başka kanatta çalışma</t>
  </si>
  <si>
    <t xml:space="preserve">le tarafında kaçık olduğu için 13 tur freze işlemi uygulandı </t>
  </si>
  <si>
    <t>kanat boyaya girdi,kürleme sonradan verildi</t>
  </si>
  <si>
    <t>Kanat içinde  ncr atıkları reçine atıkları olduğu için onay aşaması uzamıştır</t>
  </si>
  <si>
    <t>Bitiş bilgisi verilmemiştir</t>
  </si>
  <si>
    <t xml:space="preserve">kalite </t>
  </si>
  <si>
    <t>BASLANGIÇ TARİH SAAT YANLIŞ YAZIMIS 24.03.2022 14:30 DOĞRU TARİH SAAT</t>
  </si>
  <si>
    <t>EKSİK BİLGİ</t>
  </si>
  <si>
    <t>bitiş bilgisi verilmemiştir kanat sevk olduğu için kapatıldı</t>
  </si>
  <si>
    <t>bitiş bilgisi verilmedi kanat sevk olduğu için kapatıldı</t>
  </si>
  <si>
    <t>Yüzeydeki Boyalardan Dolayı</t>
  </si>
  <si>
    <t>BİTİŞ BİLGİİ BİLDİRİLMEDİ</t>
  </si>
  <si>
    <t>EKSİK SUSTURUCU VE ONAYIN KANAT FİKSTÜRLÜYKEN ALINMASI</t>
  </si>
  <si>
    <t>KAFES BEKLEME SEBEBİYLE</t>
  </si>
  <si>
    <t>tipte ncr vardı</t>
  </si>
  <si>
    <t>bilinmiyor.</t>
  </si>
  <si>
    <t>KALİTE PERSONEL YETERSİZLİĞİ</t>
  </si>
  <si>
    <t>BİTİŞ SAATİ PAYLAŞILMAMASI</t>
  </si>
  <si>
    <t>ONAY BEKLEME</t>
  </si>
  <si>
    <t>Vardiya Değişimi / Aktarımı</t>
  </si>
  <si>
    <t>vardiya değişimi ve 590 te insert kesimi sebebiyle geçikme yaşanmıştır</t>
  </si>
  <si>
    <t>3 ADET SUSTURUCU SONRADAN TAMAMLANDI</t>
  </si>
  <si>
    <t>BASLKA KANATTA ÇALIŞMA</t>
  </si>
  <si>
    <t xml:space="preserve">13:30-15:30 arası </t>
  </si>
  <si>
    <t>EKSİK SUSTURUCULAR FİKSTÜRDE TAMAMLANIP ONAYI ALINDI</t>
  </si>
  <si>
    <t>LAZER YAPILMASI + YEMEK MOLASI</t>
  </si>
  <si>
    <t>FARKLI KANAT TE İNSERT KESİMİ</t>
  </si>
  <si>
    <t>VARDİYA DEĞİŞİMİ SEBEBİYLE</t>
  </si>
  <si>
    <t>13:00-14:00 arası</t>
  </si>
  <si>
    <t>onay alındı</t>
  </si>
  <si>
    <t>BAŞLANGIÇ TARİHİ YANLIŞ YAZILMASI (OPERASYON SÜRESİ KÜRLEME DAHİL 2 SAAT 51 DAKİKA)</t>
  </si>
  <si>
    <t>KESİM DENEMESİ YEMEK MOLASI</t>
  </si>
  <si>
    <t>KALİTE BEKLEME VE KANAT İÇİ NCR ATIKLARI ÇOK FAZLA OLDUGUNDAN DOLAYI</t>
  </si>
  <si>
    <t>belirtilmedi</t>
  </si>
  <si>
    <t>ONAY SÜRECİ UZADI</t>
  </si>
  <si>
    <t>20:05-21:00 SAATLERİ ARASINDA</t>
  </si>
  <si>
    <t>c vardiyası kanat içi temizliğini yapmış kalitedeki eksik personelden dolayı onay alamamış.</t>
  </si>
  <si>
    <t>VARDİYA DEĞİŞİMİ ONAY SÜRECİ</t>
  </si>
  <si>
    <t>YETERSİZ BATTANİYE-VARDİYA DEĞİŞİMİ-BAŞKA KANATLARDA ÇALIŞMA</t>
  </si>
  <si>
    <t>Vardiya Değişimi- Kalite Onay Süreci</t>
  </si>
  <si>
    <t>VARDİYA DEĞİŞİMİ - KALİTE BEKLEME</t>
  </si>
  <si>
    <t>BATTANİYE BAĞLAMA - ONAY ALMA</t>
  </si>
  <si>
    <t>HATALI BİLGİ GİRİŞİ</t>
  </si>
  <si>
    <t>başlama saati yanlış girildi 01.04.2022 01:55</t>
  </si>
  <si>
    <t>kesim denemesi ve 595 t.insert trimi</t>
  </si>
  <si>
    <t>BRAKET ONAYSIZ VE KANAT FİXTÜRLENDİĞİ İÇİN</t>
  </si>
  <si>
    <t>GÖRSEL KANADINDA ÇALIŞMA / VARDİYA DEĞİŞİMİ</t>
  </si>
  <si>
    <t>KALİTE EKSİKLİĞİ</t>
  </si>
  <si>
    <t>ncr dry</t>
  </si>
  <si>
    <t>ncr dan dolayı ps te de ilerleyemedik</t>
  </si>
  <si>
    <t xml:space="preserve">SS TARAFI NCR TAMİRİ </t>
  </si>
  <si>
    <t>parçalı çalışma</t>
  </si>
  <si>
    <t>KALİTE ONAY BEKLEME - VARDİYA DEĞİŞİMİ</t>
  </si>
  <si>
    <t xml:space="preserve">kesim demesi </t>
  </si>
  <si>
    <t>fixtürde tamamlandı</t>
  </si>
  <si>
    <t>KALİTE ONAY SÜRECİ</t>
  </si>
  <si>
    <t>VARDİYA DEĞİŞİMİ-AKTARIMI</t>
  </si>
  <si>
    <t xml:space="preserve">Vardiya Değişimi - Onay Alma Süreci </t>
  </si>
  <si>
    <t>599 nolu kanatta çalışma</t>
  </si>
  <si>
    <t>PS YÜZEYİNE TAMİR MACUNU ÇEKİLMESİ- MACUN VE GÖZENEKLERİN BOYAHANE İÇİNDE GEÇ KÜRLENMESİ</t>
  </si>
  <si>
    <t xml:space="preserve">insört yüzeyinde yoğun macun bant vardı </t>
  </si>
  <si>
    <t>battaniye yoktu kürleme geç verildi</t>
  </si>
  <si>
    <t>c vardiyası 16:30-19:50</t>
  </si>
  <si>
    <t>KALİTE BEKLEME - VARDİYA DEĞİŞİMİ</t>
  </si>
  <si>
    <t>yoğun macun bant dan</t>
  </si>
  <si>
    <t>te ınsert trimi ve yemek molası</t>
  </si>
  <si>
    <t>VARDİYA DEĞİŞİMİ- KESİM DENEMESİ</t>
  </si>
  <si>
    <t xml:space="preserve">NCR </t>
  </si>
  <si>
    <t xml:space="preserve">ncr kumaşları ve tamir sonraları </t>
  </si>
  <si>
    <t xml:space="preserve">parçalı çalışıldı </t>
  </si>
  <si>
    <t>hazırlık ,kürleme dahil saat girilmiştir</t>
  </si>
  <si>
    <t>bilgi verilmedi</t>
  </si>
  <si>
    <t>KANADA LAZER YAPILMASI - VİNÇ HAMLESİ</t>
  </si>
  <si>
    <t>DENETLEME YAPILMASI SEBEBİYLE</t>
  </si>
  <si>
    <t>KANAT BOYANDIKTAN SONRA ONAY ALINMASI</t>
  </si>
  <si>
    <t xml:space="preserve">sistemsel gecikme </t>
  </si>
  <si>
    <t>laminasyon kumaşına 25 metre ncr açıldı. yapışmama taşlandı tekrardan vakumlu atılıp kürleme bağlandı.</t>
  </si>
  <si>
    <t xml:space="preserve">KESİM DENEMESİ </t>
  </si>
  <si>
    <t>ZIMPARAYA WLU İSTASYONUNDA BAŞLANDI</t>
  </si>
  <si>
    <t>KANAT ŞERİTLİ OLDUĞU İÇİN AYRI AYRI İNSPECTİON YAPILMASI</t>
  </si>
  <si>
    <t>mesh tamiri sebebiyle ncr sebebiyle gecikme yaşanmıştır.</t>
  </si>
  <si>
    <t>ncr,zımparaya wlu istasyonunda başlandı</t>
  </si>
  <si>
    <t>TİP PATCHİ VE KANAT İÇİNDE SKOPOWER KURLENMESİ</t>
  </si>
  <si>
    <t xml:space="preserve">ss msw ayağı kuruluğundan dolayı TT verildi kanat içi onayı alınamadı </t>
  </si>
  <si>
    <t>MATKAP UCU KÖR OLDUĞUNDAN DOLAYI</t>
  </si>
  <si>
    <t>rootda dry tamiri zımparaya laminasyon istasyonunda başlandı</t>
  </si>
  <si>
    <t>ncr sebebiyle</t>
  </si>
  <si>
    <t xml:space="preserve">KÜRLEME BİTİŞ </t>
  </si>
  <si>
    <t>YEMEK MOLASI - KESİM DENEMESİ</t>
  </si>
  <si>
    <t>NCR SEBEBİYLE GECİKME OLMUŞTUR</t>
  </si>
  <si>
    <t>BİTİŞ BİLGİSİ VERİLMEDİ KANAT SEVK OLDU</t>
  </si>
  <si>
    <t>D VARDİYASINDA ONAY ALINDI GECİKME BİLGİSİ YOK</t>
  </si>
  <si>
    <t>FİXTÜRDE TAMAMLANMIŞTIR</t>
  </si>
  <si>
    <t xml:space="preserve">609 te insert trimi ve yemek molası </t>
  </si>
  <si>
    <t>kesim denemsi</t>
  </si>
  <si>
    <t>YEMEK MOLASI SEBEBİYLE</t>
  </si>
  <si>
    <t>KANAT SEVK OLDU</t>
  </si>
  <si>
    <t>FİXTÜRDE TAMAMLANDI</t>
  </si>
  <si>
    <t>KANATİÇİ NCR</t>
  </si>
  <si>
    <t>YANLIŞ BAŞLATILDI</t>
  </si>
  <si>
    <t>bildirim yapılmadı</t>
  </si>
  <si>
    <t>d vardiyasında onay alınmıştır</t>
  </si>
  <si>
    <t>YEMEK MOLASI</t>
  </si>
  <si>
    <t>tipte ncr var.battaniye eksik kürleme için battaniye aktarıldı</t>
  </si>
  <si>
    <t xml:space="preserve">yanlış baslangıc saati kayıt edildi doğrusu  22:30 </t>
  </si>
  <si>
    <t xml:space="preserve"> dogru baslangıç tarihi 12.04.2022  </t>
  </si>
  <si>
    <t>bitiş bilgisi yok</t>
  </si>
  <si>
    <t>bitiş bildirilmedi</t>
  </si>
  <si>
    <t>BAŞLANGIÇ SAATİ YANLIŞ GİRİLMESİ</t>
  </si>
  <si>
    <t>kesim denemesi başka kanatta çalışma</t>
  </si>
  <si>
    <t>Onay Süreci</t>
  </si>
  <si>
    <t>kafada ncr vardı kumaş sonradan atıldı</t>
  </si>
  <si>
    <t>Onay Alma Süreci</t>
  </si>
  <si>
    <t>KANAT TAMTURLU OLDUGU ICIN</t>
  </si>
  <si>
    <t>EKSTRA TUR VERME - VARDİYA DEĞİŞİMİ</t>
  </si>
  <si>
    <t xml:space="preserve">ncr tamirleri sebebiyle gecikme yaşanmıştır </t>
  </si>
  <si>
    <t xml:space="preserve">ncr sebebiyle </t>
  </si>
  <si>
    <t>ncr sebebiyle gecikme yaşanmıştır</t>
  </si>
  <si>
    <t>KÜRLEME GEÇ VERİLDİ</t>
  </si>
  <si>
    <t>BİTİŞ BİLGİSİ VERİLMEMEİŞTİR</t>
  </si>
  <si>
    <t>KANAT TAMTURLU OLDUGU İÇİN</t>
  </si>
  <si>
    <t xml:space="preserve">vardiya aktarımı,kürleme verildi </t>
  </si>
  <si>
    <t>kürleme verildi vardiya aktarımı</t>
  </si>
  <si>
    <t>PARÇA KUMAŞ ATIMI</t>
  </si>
  <si>
    <t>MACUN BANT VE BOYA TOZUNDAN DOLAYI ONAYI GEÇ ALINMIŞTIR</t>
  </si>
  <si>
    <t>BAŞKA KANATTA TE İNSERT KESİMİ</t>
  </si>
  <si>
    <t>BATTANIYE BAGLAMA</t>
  </si>
  <si>
    <t>VARDİYA AKTARIM</t>
  </si>
  <si>
    <t>FARKLI KANATTA TE İNSTERT TRİMLEME - KESİM DENEMESİ</t>
  </si>
  <si>
    <t>PARÇALI ÇALIŞILDI KÜRLEME İÇİN BATTANİYE AKTARIMI YAPILDI</t>
  </si>
  <si>
    <t>EKSTRA TUR VERMEK - KANATTA BULUNAN KAÇIKLIK</t>
  </si>
  <si>
    <t>kanat boyaya girdi onayı sonra alındı</t>
  </si>
  <si>
    <t>kanat boyadaydı onayı boyadan sonra alındı</t>
  </si>
  <si>
    <t>KANADIN LE TARAFINDA BULUNAN PAKET SEBEBİYLE</t>
  </si>
  <si>
    <t>NCR TAMİRLERİ SEBEBİYLE GECİKME YAŞANMIŞTIR.</t>
  </si>
  <si>
    <t>633 TE INSERT TRİMDE ÇALIŞILDI</t>
  </si>
  <si>
    <t>infizyon nedeniyle</t>
  </si>
  <si>
    <t>infüzyon nedeniyle</t>
  </si>
  <si>
    <t>KÜRLEME - ONAY SÜRECİ</t>
  </si>
  <si>
    <t>Boya Kürlenme Bekleme</t>
  </si>
  <si>
    <t>tako bölgesinde ncr</t>
  </si>
  <si>
    <t>NCR TAMİRİ - KÜRLEME - ONAY ALMA SÜRECİ</t>
  </si>
  <si>
    <t>ncr,bitiş bilgisi verilmedi</t>
  </si>
  <si>
    <t xml:space="preserve">VARDİYA DEĞİŞİMİ - ONAY ALMA SÜRECİ </t>
  </si>
  <si>
    <t>BATTANIYE BAGLAMA - ONAY SÜRECİ</t>
  </si>
  <si>
    <t>KÜRLEME VE ONAY ALMA SÜRECİ</t>
  </si>
  <si>
    <t>639 te ınsert trim çalışıldı</t>
  </si>
  <si>
    <t>Güncelleme : 21.04.2022 10:05:35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</si>
</sst>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F]d\ mmmm\ yyyy\ h:mm;@"/>
    <numFmt numFmtId="165" formatCode="0.0"/>
    <numFmt numFmtId="166" formatCode="[$-F400]h:mm:ss\ AM/PM"/>
    <numFmt numFmtId="167" formatCode="%0"/>
    <numFmt numFmtId="168" formatCode="[$-41F]d\ mmmm\ yyyy;@"/>
  </numFmts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i/>
      <sz val="22"/>
      <color theme="1"/>
      <name val="Calibri"/>
      <family val="2"/>
      <charset val="16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charset val="162"/>
      <scheme val="minor"/>
    </font>
    <font>
      <b/>
      <i/>
      <sz val="16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charset val="16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charset val="162"/>
      <scheme val="minor"/>
    </font>
    <font>
      <i/>
      <sz val="8"/>
      <color theme="1"/>
      <name val="Calibri"/>
      <family val="2"/>
      <charset val="162"/>
      <scheme val="minor"/>
    </font>
    <font>
      <u/>
      <sz val="11"/>
      <color theme="0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2"/>
      <color theme="1"/>
      <name val="Calibri"/>
      <family val="2"/>
      <charset val="16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5">
    <xf numFmtId="0" fontId="0" fillId="0" borderId="0" xfId="0"/>
    <xf numFmtId="14" fontId="0" fillId="0" borderId="0" xfId="0" applyNumberFormat="1"/>
    <xf numFmtId="0" fontId="0" fillId="2" borderId="10" xfId="0" applyFill="1" applyBorder="1" applyAlignment="1">
      <alignment horizontal="center"/>
    </xf>
    <xf numFmtId="0" fontId="0" fillId="5" borderId="0" xfId="0" applyFill="1" applyAlignment="1">
      <alignment horizontal="center"/>
    </xf>
    <xf numFmtId="166" fontId="0" fillId="6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horizontal="center"/>
    </xf>
    <xf numFmtId="22" fontId="2" fillId="6" borderId="0" xfId="0" applyNumberFormat="1" applyFont="1" applyFill="1" applyAlignment="1">
      <alignment horizontal="center" vertical="center"/>
    </xf>
    <xf numFmtId="0" fontId="0" fillId="6" borderId="10" xfId="0" applyFill="1" applyBorder="1" applyAlignment="1">
      <alignment horizontal="center"/>
    </xf>
    <xf numFmtId="14" fontId="0" fillId="6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Protection="1">
      <protection locked="0"/>
    </xf>
    <xf numFmtId="0" fontId="14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2" fontId="0" fillId="0" borderId="0" xfId="0" applyNumberFormat="1"/>
    <xf numFmtId="168" fontId="0" fillId="0" borderId="0" xfId="0" applyNumberFormat="1"/>
    <xf numFmtId="0" fontId="0" fillId="6" borderId="0" xfId="0" applyFill="1" applyAlignment="1">
      <alignment horizontal="left"/>
    </xf>
    <xf numFmtId="166" fontId="0" fillId="6" borderId="2" xfId="0" applyNumberFormat="1" applyFill="1" applyBorder="1" applyAlignment="1">
      <alignment horizontal="center"/>
    </xf>
    <xf numFmtId="14" fontId="0" fillId="6" borderId="2" xfId="0" applyNumberFormat="1" applyFill="1" applyBorder="1" applyAlignment="1">
      <alignment horizontal="center"/>
    </xf>
    <xf numFmtId="0" fontId="0" fillId="6" borderId="2" xfId="0" applyFill="1" applyBorder="1"/>
    <xf numFmtId="0" fontId="0" fillId="6" borderId="2" xfId="0" applyFill="1" applyBorder="1" applyAlignment="1">
      <alignment horizontal="center"/>
    </xf>
    <xf numFmtId="0" fontId="0" fillId="0" borderId="0" xfId="0" applyAlignment="1" applyProtection="1">
      <alignment horizontal="left"/>
    </xf>
    <xf numFmtId="0" fontId="19" fillId="0" borderId="0" xfId="0" applyFont="1" applyAlignment="1" applyProtection="1">
      <alignment horizontal="right"/>
    </xf>
    <xf numFmtId="0" fontId="0" fillId="0" borderId="0" xfId="0" applyProtection="1"/>
    <xf numFmtId="0" fontId="20" fillId="0" borderId="0" xfId="1" applyFont="1" applyProtection="1"/>
    <xf numFmtId="0" fontId="10" fillId="0" borderId="0" xfId="0" applyFont="1" applyProtection="1"/>
    <xf numFmtId="14" fontId="0" fillId="0" borderId="0" xfId="0" applyNumberFormat="1" applyProtection="1"/>
    <xf numFmtId="164" fontId="7" fillId="0" borderId="0" xfId="0" applyNumberFormat="1" applyFont="1" applyAlignment="1" applyProtection="1">
      <alignment vertical="center"/>
    </xf>
    <xf numFmtId="0" fontId="1" fillId="0" borderId="0" xfId="0" applyFont="1" applyAlignment="1" applyProtection="1">
      <alignment vertical="center" wrapText="1"/>
    </xf>
    <xf numFmtId="0" fontId="5" fillId="0" borderId="0" xfId="0" applyFont="1" applyBorder="1" applyAlignment="1" applyProtection="1"/>
    <xf numFmtId="0" fontId="17" fillId="0" borderId="0" xfId="0" applyFont="1" applyAlignment="1" applyProtection="1"/>
    <xf numFmtId="0" fontId="12" fillId="0" borderId="0" xfId="1" applyFont="1" applyAlignment="1" applyProtection="1">
      <alignment horizontal="right"/>
    </xf>
    <xf numFmtId="0" fontId="7" fillId="0" borderId="2" xfId="0" applyFont="1" applyBorder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64" fontId="4" fillId="0" borderId="0" xfId="0" applyNumberFormat="1" applyFont="1" applyAlignment="1" applyProtection="1">
      <alignment horizontal="center" vertical="center"/>
    </xf>
    <xf numFmtId="164" fontId="4" fillId="0" borderId="2" xfId="0" applyNumberFormat="1" applyFont="1" applyBorder="1" applyAlignment="1" applyProtection="1">
      <alignment vertical="center"/>
    </xf>
    <xf numFmtId="0" fontId="3" fillId="0" borderId="3" xfId="0" applyFont="1" applyBorder="1" applyAlignment="1" applyProtection="1">
      <alignment wrapText="1"/>
    </xf>
    <xf numFmtId="0" fontId="3" fillId="0" borderId="4" xfId="0" applyFont="1" applyBorder="1" applyAlignment="1" applyProtection="1">
      <alignment wrapText="1"/>
    </xf>
    <xf numFmtId="1" fontId="13" fillId="0" borderId="15" xfId="0" applyNumberFormat="1" applyFont="1" applyBorder="1" applyAlignment="1" applyProtection="1">
      <alignment horizontal="center" vertical="center" wrapText="1"/>
    </xf>
    <xf numFmtId="1" fontId="13" fillId="0" borderId="17" xfId="0" applyNumberFormat="1" applyFont="1" applyBorder="1" applyAlignment="1" applyProtection="1">
      <alignment horizontal="center" vertical="center" wrapText="1"/>
    </xf>
    <xf numFmtId="1" fontId="13" fillId="0" borderId="22" xfId="0" applyNumberFormat="1" applyFont="1" applyFill="1" applyBorder="1" applyAlignment="1" applyProtection="1">
      <alignment horizontal="center" vertical="center" wrapText="1"/>
    </xf>
    <xf numFmtId="0" fontId="3" fillId="0" borderId="6" xfId="0" applyFont="1" applyBorder="1" applyAlignment="1" applyProtection="1">
      <alignment textRotation="90" wrapText="1"/>
    </xf>
    <xf numFmtId="0" fontId="3" fillId="0" borderId="3" xfId="0" applyFont="1" applyBorder="1" applyAlignment="1" applyProtection="1">
      <alignment textRotation="90" wrapText="1"/>
    </xf>
    <xf numFmtId="0" fontId="13" fillId="0" borderId="15" xfId="0" applyFont="1" applyBorder="1" applyAlignment="1" applyProtection="1">
      <alignment horizontal="center" textRotation="90" wrapText="1"/>
    </xf>
    <xf numFmtId="0" fontId="13" fillId="0" borderId="15" xfId="0" applyFont="1" applyFill="1" applyBorder="1" applyAlignment="1" applyProtection="1">
      <alignment horizontal="center" textRotation="90" wrapText="1"/>
    </xf>
    <xf numFmtId="14" fontId="13" fillId="0" borderId="15" xfId="0" applyNumberFormat="1" applyFont="1" applyFill="1" applyBorder="1" applyAlignment="1" applyProtection="1">
      <alignment horizontal="center" textRotation="90" wrapText="1"/>
    </xf>
    <xf numFmtId="0" fontId="13" fillId="0" borderId="17" xfId="0" applyFont="1" applyFill="1" applyBorder="1" applyAlignment="1" applyProtection="1">
      <alignment horizontal="center" textRotation="90" wrapText="1"/>
    </xf>
    <xf numFmtId="0" fontId="0" fillId="0" borderId="0" xfId="0" applyAlignment="1" applyProtection="1"/>
    <xf numFmtId="1" fontId="3" fillId="0" borderId="0" xfId="0" applyNumberFormat="1" applyFont="1" applyProtection="1"/>
    <xf numFmtId="0" fontId="3" fillId="0" borderId="0" xfId="0" applyFont="1" applyProtection="1"/>
    <xf numFmtId="0" fontId="7" fillId="0" borderId="2" xfId="0" applyFont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/>
    </xf>
    <xf numFmtId="165" fontId="21" fillId="9" borderId="23" xfId="0" applyNumberFormat="1" applyFont="1" applyFill="1" applyBorder="1" applyAlignment="1" applyProtection="1">
      <alignment horizontal="center"/>
    </xf>
    <xf numFmtId="165" fontId="22" fillId="9" borderId="23" xfId="0" applyNumberFormat="1" applyFont="1" applyFill="1" applyBorder="1" applyAlignment="1" applyProtection="1">
      <alignment horizontal="center"/>
    </xf>
    <xf numFmtId="1" fontId="23" fillId="0" borderId="23" xfId="0" applyNumberFormat="1" applyFont="1" applyBorder="1" applyAlignment="1" applyProtection="1">
      <alignment horizontal="center"/>
    </xf>
    <xf numFmtId="167" fontId="24" fillId="9" borderId="23" xfId="0" applyNumberFormat="1" applyFont="1" applyFill="1" applyBorder="1" applyAlignment="1" applyProtection="1">
      <alignment horizontal="center"/>
    </xf>
    <xf numFmtId="0" fontId="24" fillId="0" borderId="23" xfId="0" applyFont="1" applyBorder="1" applyAlignment="1" applyProtection="1">
      <alignment horizontal="center"/>
    </xf>
    <xf numFmtId="165" fontId="21" fillId="7" borderId="23" xfId="0" applyNumberFormat="1" applyFont="1" applyFill="1" applyBorder="1" applyAlignment="1" applyProtection="1">
      <alignment horizontal="center"/>
    </xf>
    <xf numFmtId="167" fontId="24" fillId="8" borderId="23" xfId="0" applyNumberFormat="1" applyFont="1" applyFill="1" applyBorder="1" applyAlignment="1" applyProtection="1">
      <alignment horizontal="center"/>
    </xf>
    <xf numFmtId="165" fontId="21" fillId="8" borderId="23" xfId="0" applyNumberFormat="1" applyFont="1" applyFill="1" applyBorder="1" applyAlignment="1" applyProtection="1">
      <alignment horizontal="center"/>
    </xf>
    <xf numFmtId="165" fontId="22" fillId="8" borderId="23" xfId="0" applyNumberFormat="1" applyFont="1" applyFill="1" applyBorder="1" applyAlignment="1" applyProtection="1">
      <alignment horizontal="center"/>
    </xf>
    <xf numFmtId="0" fontId="15" fillId="0" borderId="23" xfId="0" applyFont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left"/>
      <protection locked="0"/>
    </xf>
    <xf numFmtId="164" fontId="25" fillId="0" borderId="0" xfId="0" applyNumberFormat="1" applyFont="1" applyAlignment="1" applyProtection="1">
      <alignment horizontal="center" vertical="center"/>
    </xf>
    <xf numFmtId="164" fontId="18" fillId="0" borderId="0" xfId="0" applyNumberFormat="1" applyFont="1" applyAlignment="1" applyProtection="1">
      <alignment horizontal="left"/>
    </xf>
    <xf numFmtId="0" fontId="8" fillId="0" borderId="5" xfId="0" applyFont="1" applyBorder="1" applyAlignment="1" applyProtection="1">
      <alignment horizontal="center" wrapText="1"/>
    </xf>
    <xf numFmtId="0" fontId="8" fillId="0" borderId="7" xfId="0" applyFont="1" applyBorder="1" applyAlignment="1" applyProtection="1">
      <alignment horizontal="center" wrapText="1"/>
    </xf>
    <xf numFmtId="0" fontId="8" fillId="0" borderId="9" xfId="0" applyFont="1" applyBorder="1" applyAlignment="1" applyProtection="1">
      <alignment horizontal="center" wrapText="1"/>
    </xf>
    <xf numFmtId="0" fontId="3" fillId="4" borderId="6" xfId="0" applyFont="1" applyFill="1" applyBorder="1" applyAlignment="1" applyProtection="1">
      <alignment horizontal="center" textRotation="90" wrapText="1"/>
    </xf>
    <xf numFmtId="0" fontId="3" fillId="4" borderId="8" xfId="0" applyFont="1" applyFill="1" applyBorder="1" applyAlignment="1" applyProtection="1">
      <alignment horizontal="center" textRotation="90" wrapText="1"/>
    </xf>
    <xf numFmtId="0" fontId="6" fillId="0" borderId="12" xfId="0" applyFont="1" applyBorder="1" applyAlignment="1" applyProtection="1">
      <alignment horizontal="center" textRotation="90" wrapText="1"/>
    </xf>
    <xf numFmtId="0" fontId="6" fillId="0" borderId="11" xfId="0" applyFont="1" applyBorder="1" applyAlignment="1" applyProtection="1">
      <alignment horizontal="center" textRotation="90" wrapText="1"/>
    </xf>
    <xf numFmtId="0" fontId="6" fillId="0" borderId="13" xfId="0" applyFont="1" applyBorder="1" applyAlignment="1" applyProtection="1">
      <alignment horizontal="center" textRotation="90" wrapText="1"/>
    </xf>
    <xf numFmtId="0" fontId="6" fillId="0" borderId="14" xfId="0" applyFont="1" applyBorder="1" applyAlignment="1" applyProtection="1">
      <alignment horizontal="center" textRotation="90" wrapText="1"/>
    </xf>
    <xf numFmtId="0" fontId="3" fillId="3" borderId="15" xfId="0" applyFont="1" applyFill="1" applyBorder="1" applyAlignment="1" applyProtection="1">
      <alignment horizontal="center" vertical="center" wrapText="1"/>
    </xf>
    <xf numFmtId="0" fontId="3" fillId="3" borderId="21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right" vertical="center" wrapText="1"/>
    </xf>
    <xf numFmtId="0" fontId="3" fillId="0" borderId="16" xfId="0" applyFont="1" applyBorder="1" applyAlignment="1" applyProtection="1">
      <alignment horizontal="right" vertical="center" wrapText="1"/>
    </xf>
    <xf numFmtId="0" fontId="3" fillId="3" borderId="17" xfId="0" applyFont="1" applyFill="1" applyBorder="1" applyAlignment="1" applyProtection="1">
      <alignment horizontal="center" vertical="center" wrapText="1"/>
    </xf>
    <xf numFmtId="0" fontId="3" fillId="3" borderId="18" xfId="0" applyFont="1" applyFill="1" applyBorder="1" applyAlignment="1" applyProtection="1">
      <alignment horizontal="center" vertical="center" wrapText="1"/>
    </xf>
    <xf numFmtId="0" fontId="3" fillId="3" borderId="19" xfId="0" applyFont="1" applyFill="1" applyBorder="1" applyAlignment="1" applyProtection="1">
      <alignment horizontal="center" vertical="center" wrapText="1"/>
    </xf>
    <xf numFmtId="0" fontId="3" fillId="3" borderId="20" xfId="0" applyFont="1" applyFill="1" applyBorder="1" applyAlignment="1" applyProtection="1">
      <alignment horizontal="center" vertical="center" wrapText="1"/>
    </xf>
  </cellXfs>
  <cellStyles count="2">
    <cellStyle name="Köprü" xfId="1" builtinId="8"/>
    <cellStyle name="Normal" xfId="0" builtinId="0"/>
  </cellStyles>
  <dxfs count="3">
    <dxf>
      <numFmt numFmtId="2" formatCode="0.00"/>
    </dxf>
    <dxf>
      <numFmt numFmtId="168" formatCode="[$-41F]d\ mmmm\ yyyy;@"/>
    </dxf>
    <dxf>
      <numFmt numFmtId="168" formatCode="[$-41F]d\ mmmm\ yyyy;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289560</xdr:colOff>
          <xdr:row>0</xdr:row>
          <xdr:rowOff>0</xdr:rowOff>
        </xdr:from>
        <xdr:to>
          <xdr:col>6</xdr:col>
          <xdr:colOff>137160</xdr:colOff>
          <xdr:row>3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152400</xdr:colOff>
          <xdr:row>3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137160</xdr:colOff>
          <xdr:row>0</xdr:row>
          <xdr:rowOff>0</xdr:rowOff>
        </xdr:from>
        <xdr:to>
          <xdr:col>9</xdr:col>
          <xdr:colOff>266700</xdr:colOff>
          <xdr:row>3</xdr:row>
          <xdr:rowOff>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tek/Desktop/New%20Report%20Trial/Vestas%20Finish%20Daily%20Stat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elay Code"/>
      <sheetName val="Tracker"/>
      <sheetName val="Lokal Rep Hedef"/>
      <sheetName val="CT"/>
      <sheetName val="Finish Status"/>
      <sheetName val="Skeleton"/>
      <sheetName val="W30"/>
      <sheetName val="Sayfa1"/>
      <sheetName val="Vestas Finish Daily 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F2D1AD-E767-46C0-9F5A-6DC73CF16610}" name="Tablo2" displayName="Tablo2" ref="A1:E2263" totalsRowShown="0">
  <autoFilter ref="A1:E2263" xr:uid="{A3CD1BF6-0728-4C84-BC2A-BB74059FC38D}"/>
  <tableColumns count="5">
    <tableColumn id="1" xr3:uid="{26B527DF-BAD7-4F54-B270-423967C5B3DD}" name="Kanat"/>
    <tableColumn id="2" xr3:uid="{A696DB7C-C817-47CA-AC05-CA7F11FC427C}" name="İstasyon"/>
    <tableColumn id="3" xr3:uid="{5A344040-8007-4797-826D-AC8D6AA8E967}" name="Başlangıç" dataDxfId="2"/>
    <tableColumn id="4" xr3:uid="{6D46C4FC-B572-4BB0-8532-6E78914EB642}" name="Bitiş" dataDxfId="1"/>
    <tableColumn id="5" xr3:uid="{B3B58EF7-8E8E-41FA-9AC6-1263FD510096}" name="Gerçekleşen" dataDxfId="0">
      <calculatedColumnFormula>IF(Tablo2[[#This Row],[Başlangıç]]="","",(IF(Tablo2[[#This Row],[Bitiş]]="",($G$1-Tablo2[[#This Row],[Başlangıç]])*24,(Tablo2[[#This Row],[Bitiş]]-Tablo2[[#This Row],[Başlangıç]])*24)))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39006C-AC76-4F6F-9E79-54736B8130EE}" name="Tablo1" displayName="Tablo1" ref="A1:E2321" totalsRowShown="0">
  <autoFilter ref="A1:E2321" xr:uid="{E4C3D7B1-389B-4D92-AAE2-91D6230FA741}"/>
  <tableColumns count="5">
    <tableColumn id="1" xr3:uid="{248CA5A3-943E-4A67-8240-67F43C3F7524}" name="Kanat"/>
    <tableColumn id="2" xr3:uid="{63E93EE7-2B7C-407B-AAF0-380693CF9D33}" name="Operasyon"/>
    <tableColumn id="3" xr3:uid="{E47E4D6C-77A4-4ACF-BF3B-932603AFF2C1}" name="Ekip"/>
    <tableColumn id="4" xr3:uid="{C169E92B-A6B2-4741-B3FD-E3999EBC72E4}" name="Gecikme"/>
    <tableColumn id="5" xr3:uid="{E7D2EE31-7BEA-438F-B538-488CE9ECFB44}" name="Gecikme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0.139.0.9\Media\Public\Sarper\FinishTracker.accdb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35986-B9A4-4FEE-A31C-C283560B1E75}">
  <sheetPr codeName="Sayfa5">
    <outlinePr showOutlineSymbols="0"/>
    <pageSetUpPr autoPageBreaks="0" fitToPage="1"/>
  </sheetPr>
  <dimension ref="A1:AW66"/>
  <sheetViews>
    <sheetView showGridLines="0" tabSelected="1" showOutlineSymbols="0" defaultGridColor="0" colorId="8" zoomScaleNormal="100" workbookViewId="0">
      <pane xSplit="3" topLeftCell="D1" activePane="topRight" state="frozen"/>
      <selection pane="topRight" activeCell="B1" sqref="B1"/>
    </sheetView>
  </sheetViews>
  <sheetFormatPr defaultRowHeight="14.4" x14ac:dyDescent="0.3"/>
  <cols>
    <col min="1" max="1" width="4.6640625" style="50" customWidth="1"/>
    <col min="2" max="2" width="3.33203125" style="50" customWidth="1"/>
    <col min="3" max="3" width="4.44140625" style="26" customWidth="1"/>
    <col min="4" max="4" width="2.88671875" style="26" bestFit="1" customWidth="1"/>
    <col min="5" max="5" width="4.109375" style="26" bestFit="1" customWidth="1"/>
    <col min="6" max="6" width="5.6640625" style="26" bestFit="1" customWidth="1"/>
    <col min="7" max="7" width="3.33203125" style="26" bestFit="1" customWidth="1"/>
    <col min="8" max="9" width="2.88671875" style="26" bestFit="1" customWidth="1"/>
    <col min="10" max="10" width="5.109375" style="26" bestFit="1" customWidth="1"/>
    <col min="11" max="11" width="4.88671875" style="26" bestFit="1" customWidth="1"/>
    <col min="12" max="12" width="4.109375" style="26" bestFit="1" customWidth="1"/>
    <col min="13" max="13" width="3.5546875" style="26" bestFit="1" customWidth="1"/>
    <col min="14" max="15" width="4.109375" style="26" bestFit="1" customWidth="1"/>
    <col min="16" max="17" width="3" style="26" bestFit="1" customWidth="1"/>
    <col min="18" max="18" width="4.33203125" style="26" bestFit="1" customWidth="1"/>
    <col min="19" max="19" width="3.5546875" style="26" bestFit="1" customWidth="1"/>
    <col min="20" max="20" width="4.33203125" style="26" bestFit="1" customWidth="1"/>
    <col min="21" max="21" width="4.109375" style="26" bestFit="1" customWidth="1"/>
    <col min="22" max="23" width="4.33203125" style="26" bestFit="1" customWidth="1"/>
    <col min="24" max="26" width="3.5546875" style="26" bestFit="1" customWidth="1"/>
    <col min="27" max="27" width="4.109375" style="26" bestFit="1" customWidth="1"/>
    <col min="28" max="28" width="3.5546875" style="26" bestFit="1" customWidth="1"/>
    <col min="29" max="30" width="5.109375" style="26" bestFit="1" customWidth="1"/>
    <col min="31" max="32" width="3.5546875" style="26" bestFit="1" customWidth="1"/>
    <col min="33" max="33" width="4.33203125" style="26" bestFit="1" customWidth="1"/>
    <col min="34" max="34" width="3.5546875" style="26" bestFit="1" customWidth="1"/>
    <col min="35" max="35" width="4.109375" style="26" bestFit="1" customWidth="1"/>
    <col min="36" max="36" width="3.5546875" style="26" bestFit="1" customWidth="1"/>
    <col min="37" max="37" width="4.109375" style="26" bestFit="1" customWidth="1"/>
    <col min="38" max="38" width="3" style="26" bestFit="1" customWidth="1"/>
    <col min="39" max="39" width="6.44140625" style="26" bestFit="1" customWidth="1"/>
    <col min="40" max="40" width="8.44140625" style="26" bestFit="1" customWidth="1"/>
    <col min="41" max="41" width="2.88671875" style="26" customWidth="1"/>
    <col min="42" max="42" width="3.5546875" style="26" customWidth="1"/>
    <col min="43" max="43" width="4.21875" style="51" customWidth="1"/>
    <col min="44" max="44" width="4.88671875" style="52" customWidth="1"/>
    <col min="45" max="45" width="4.33203125" style="52" customWidth="1"/>
    <col min="46" max="46" width="4.6640625" style="52" customWidth="1"/>
    <col min="47" max="47" width="3.88671875" style="52" customWidth="1"/>
    <col min="48" max="48" width="31.21875" style="24" bestFit="1" customWidth="1"/>
    <col min="49" max="49" width="2" style="26" bestFit="1" customWidth="1"/>
    <col min="50" max="16384" width="8.88671875" style="26"/>
  </cols>
  <sheetData>
    <row r="1" spans="1:49" ht="9.6" customHeight="1" x14ac:dyDescent="0.3">
      <c r="A1" s="13"/>
      <c r="B1" s="27" t="s">
        <v>63</v>
      </c>
      <c r="C1" s="28" t="s">
        <v>689</v>
      </c>
      <c r="F1" s="29"/>
      <c r="G1" s="29"/>
      <c r="P1" s="66" t="s">
        <v>166</v>
      </c>
      <c r="Q1" s="66"/>
      <c r="R1" s="66"/>
      <c r="S1" s="66"/>
      <c r="T1" s="66"/>
      <c r="U1" s="66"/>
      <c r="V1" s="66"/>
      <c r="W1" s="66"/>
      <c r="X1" s="66"/>
      <c r="Y1" s="30"/>
      <c r="Z1" s="67" t="s">
        <v>931</v>
      </c>
      <c r="AA1" s="67"/>
      <c r="AB1" s="67"/>
      <c r="AC1" s="67"/>
      <c r="AD1" s="67"/>
      <c r="AE1" s="67"/>
      <c r="AF1" s="67"/>
      <c r="AG1" s="67"/>
      <c r="AH1" s="67"/>
      <c r="AQ1" s="24"/>
      <c r="AR1" s="24"/>
      <c r="AS1" s="24"/>
      <c r="AT1" s="24"/>
      <c r="AU1" s="24"/>
      <c r="AW1" s="31">
        <f>COUNTA(#REF!)</f>
        <v>1</v>
      </c>
    </row>
    <row r="2" spans="1:49" ht="9.6" customHeight="1" thickBot="1" x14ac:dyDescent="0.35">
      <c r="A2" s="13"/>
      <c r="B2" s="32"/>
      <c r="L2" s="33"/>
      <c r="P2" s="66"/>
      <c r="Q2" s="66"/>
      <c r="R2" s="66"/>
      <c r="S2" s="66"/>
      <c r="T2" s="66"/>
      <c r="U2" s="66"/>
      <c r="V2" s="66"/>
      <c r="W2" s="66"/>
      <c r="X2" s="66"/>
      <c r="Y2" s="30"/>
      <c r="Z2" s="67"/>
      <c r="AA2" s="67"/>
      <c r="AB2" s="67"/>
      <c r="AC2" s="67"/>
      <c r="AD2" s="67"/>
      <c r="AE2" s="67"/>
      <c r="AF2" s="67"/>
      <c r="AG2" s="67"/>
      <c r="AH2" s="67"/>
      <c r="AQ2" s="34"/>
      <c r="AR2" s="34"/>
      <c r="AS2" s="34"/>
      <c r="AT2" s="34"/>
      <c r="AU2" s="34"/>
      <c r="AV2" s="25" t="s">
        <v>60</v>
      </c>
    </row>
    <row r="3" spans="1:49" ht="25.2" hidden="1" customHeight="1" thickBot="1" x14ac:dyDescent="0.35">
      <c r="A3" s="53"/>
      <c r="B3" s="35"/>
      <c r="C3" s="35"/>
      <c r="D3" s="36">
        <v>1</v>
      </c>
      <c r="E3" s="36">
        <v>2</v>
      </c>
      <c r="F3" s="36">
        <v>3</v>
      </c>
      <c r="G3" s="36">
        <v>4</v>
      </c>
      <c r="H3" s="36">
        <v>6</v>
      </c>
      <c r="I3" s="36">
        <v>7</v>
      </c>
      <c r="J3" s="36">
        <v>8</v>
      </c>
      <c r="K3" s="36">
        <v>9</v>
      </c>
      <c r="L3" s="36">
        <v>10</v>
      </c>
      <c r="M3" s="36">
        <v>11</v>
      </c>
      <c r="N3" s="36">
        <v>12</v>
      </c>
      <c r="O3" s="36">
        <v>39</v>
      </c>
      <c r="P3" s="36">
        <v>13</v>
      </c>
      <c r="Q3" s="36">
        <v>14</v>
      </c>
      <c r="R3" s="36">
        <v>15</v>
      </c>
      <c r="S3" s="36">
        <v>16</v>
      </c>
      <c r="T3" s="36">
        <v>17</v>
      </c>
      <c r="U3" s="36">
        <v>22</v>
      </c>
      <c r="V3" s="36">
        <v>18</v>
      </c>
      <c r="W3" s="36">
        <v>19</v>
      </c>
      <c r="X3" s="36">
        <v>20</v>
      </c>
      <c r="Y3" s="36">
        <v>37</v>
      </c>
      <c r="Z3" s="36">
        <v>21</v>
      </c>
      <c r="AA3" s="36">
        <v>38</v>
      </c>
      <c r="AB3" s="36">
        <v>23</v>
      </c>
      <c r="AC3" s="36">
        <v>24</v>
      </c>
      <c r="AD3" s="36">
        <v>25</v>
      </c>
      <c r="AE3" s="36">
        <v>41</v>
      </c>
      <c r="AF3" s="36">
        <v>27</v>
      </c>
      <c r="AG3" s="36">
        <v>40</v>
      </c>
      <c r="AH3" s="36">
        <v>28</v>
      </c>
      <c r="AI3" s="36">
        <v>29</v>
      </c>
      <c r="AJ3" s="36">
        <v>30</v>
      </c>
      <c r="AK3" s="36">
        <v>31</v>
      </c>
      <c r="AL3" s="36">
        <v>32</v>
      </c>
      <c r="AM3" s="36">
        <v>33</v>
      </c>
      <c r="AN3" s="36">
        <v>34</v>
      </c>
      <c r="AO3" s="36">
        <v>35</v>
      </c>
      <c r="AP3" s="36">
        <v>36</v>
      </c>
      <c r="AQ3" s="37"/>
      <c r="AR3" s="38"/>
      <c r="AS3" s="38"/>
      <c r="AT3" s="38"/>
      <c r="AU3" s="38"/>
    </row>
    <row r="4" spans="1:49" ht="14.4" customHeight="1" thickBot="1" x14ac:dyDescent="0.35">
      <c r="A4" s="39"/>
      <c r="B4" s="40"/>
      <c r="C4" s="40"/>
      <c r="D4" s="77" t="s">
        <v>36</v>
      </c>
      <c r="E4" s="77"/>
      <c r="F4" s="77"/>
      <c r="G4" s="77"/>
      <c r="H4" s="77"/>
      <c r="I4" s="77"/>
      <c r="J4" s="77" t="s">
        <v>55</v>
      </c>
      <c r="K4" s="77"/>
      <c r="L4" s="77"/>
      <c r="M4" s="77"/>
      <c r="N4" s="77"/>
      <c r="O4" s="81"/>
      <c r="P4" s="77"/>
      <c r="Q4" s="77"/>
      <c r="R4" s="77"/>
      <c r="S4" s="77"/>
      <c r="T4" s="77"/>
      <c r="U4" s="82" t="s">
        <v>56</v>
      </c>
      <c r="V4" s="83"/>
      <c r="W4" s="83"/>
      <c r="X4" s="83"/>
      <c r="Y4" s="83"/>
      <c r="Z4" s="83"/>
      <c r="AA4" s="84"/>
      <c r="AB4" s="77" t="s">
        <v>57</v>
      </c>
      <c r="AC4" s="77"/>
      <c r="AD4" s="78"/>
      <c r="AE4" s="77"/>
      <c r="AF4" s="77" t="s">
        <v>58</v>
      </c>
      <c r="AG4" s="81"/>
      <c r="AH4" s="77"/>
      <c r="AI4" s="77"/>
      <c r="AJ4" s="77"/>
      <c r="AK4" s="77"/>
      <c r="AL4" s="77"/>
      <c r="AM4" s="77"/>
      <c r="AN4" s="77"/>
      <c r="AO4" s="77"/>
      <c r="AP4" s="77"/>
      <c r="AQ4" s="75" t="s">
        <v>39</v>
      </c>
      <c r="AR4" s="73" t="s">
        <v>40</v>
      </c>
      <c r="AS4" s="73" t="s">
        <v>41</v>
      </c>
      <c r="AT4" s="73" t="s">
        <v>42</v>
      </c>
      <c r="AU4" s="73" t="s">
        <v>43</v>
      </c>
      <c r="AV4" s="68" t="s">
        <v>44</v>
      </c>
    </row>
    <row r="5" spans="1:49" ht="14.4" customHeight="1" thickBot="1" x14ac:dyDescent="0.35">
      <c r="A5" s="71" t="s">
        <v>0</v>
      </c>
      <c r="B5" s="79" t="s">
        <v>54</v>
      </c>
      <c r="C5" s="80"/>
      <c r="D5" s="41">
        <v>2</v>
      </c>
      <c r="E5" s="41">
        <v>2</v>
      </c>
      <c r="F5" s="41">
        <v>2</v>
      </c>
      <c r="G5" s="41">
        <v>2</v>
      </c>
      <c r="H5" s="41">
        <v>2</v>
      </c>
      <c r="I5" s="41">
        <v>2</v>
      </c>
      <c r="J5" s="41">
        <v>5</v>
      </c>
      <c r="K5" s="41">
        <v>5</v>
      </c>
      <c r="L5" s="41">
        <v>5</v>
      </c>
      <c r="M5" s="41">
        <v>5</v>
      </c>
      <c r="N5" s="41">
        <v>6</v>
      </c>
      <c r="O5" s="42">
        <v>1</v>
      </c>
      <c r="P5" s="41">
        <v>4</v>
      </c>
      <c r="Q5" s="41">
        <v>2</v>
      </c>
      <c r="R5" s="41">
        <v>2</v>
      </c>
      <c r="S5" s="41">
        <v>1</v>
      </c>
      <c r="T5" s="41">
        <v>3</v>
      </c>
      <c r="U5" s="41">
        <v>6</v>
      </c>
      <c r="V5" s="41">
        <v>4</v>
      </c>
      <c r="W5" s="41">
        <v>4</v>
      </c>
      <c r="X5" s="41">
        <v>4</v>
      </c>
      <c r="Y5" s="42">
        <v>2</v>
      </c>
      <c r="Z5" s="41">
        <v>2</v>
      </c>
      <c r="AA5" s="42">
        <v>1</v>
      </c>
      <c r="AB5" s="41">
        <v>7</v>
      </c>
      <c r="AC5" s="41">
        <v>4</v>
      </c>
      <c r="AD5" s="41">
        <v>2</v>
      </c>
      <c r="AE5" s="43">
        <v>2</v>
      </c>
      <c r="AF5" s="41">
        <v>1</v>
      </c>
      <c r="AG5" s="42">
        <v>1</v>
      </c>
      <c r="AH5" s="41">
        <v>1</v>
      </c>
      <c r="AI5" s="41">
        <v>2</v>
      </c>
      <c r="AJ5" s="41">
        <v>3</v>
      </c>
      <c r="AK5" s="41">
        <v>3</v>
      </c>
      <c r="AL5" s="41">
        <v>1</v>
      </c>
      <c r="AM5" s="41">
        <v>1</v>
      </c>
      <c r="AN5" s="41">
        <v>1</v>
      </c>
      <c r="AO5" s="41">
        <v>1</v>
      </c>
      <c r="AP5" s="41">
        <v>2</v>
      </c>
      <c r="AQ5" s="76"/>
      <c r="AR5" s="74"/>
      <c r="AS5" s="74"/>
      <c r="AT5" s="74"/>
      <c r="AU5" s="74"/>
      <c r="AV5" s="69"/>
    </row>
    <row r="6" spans="1:49" ht="60" customHeight="1" x14ac:dyDescent="0.3">
      <c r="A6" s="72"/>
      <c r="B6" s="44" t="s">
        <v>1</v>
      </c>
      <c r="C6" s="45" t="s">
        <v>2</v>
      </c>
      <c r="D6" s="46" t="s">
        <v>609</v>
      </c>
      <c r="E6" s="47" t="s">
        <v>607</v>
      </c>
      <c r="F6" s="48" t="s">
        <v>608</v>
      </c>
      <c r="G6" s="48" t="s">
        <v>4</v>
      </c>
      <c r="H6" s="47" t="s">
        <v>5</v>
      </c>
      <c r="I6" s="47" t="s">
        <v>8</v>
      </c>
      <c r="J6" s="47" t="s">
        <v>9</v>
      </c>
      <c r="K6" s="47" t="s">
        <v>10</v>
      </c>
      <c r="L6" s="47" t="s">
        <v>11</v>
      </c>
      <c r="M6" s="47" t="s">
        <v>3</v>
      </c>
      <c r="N6" s="47" t="s">
        <v>12</v>
      </c>
      <c r="O6" s="49" t="s">
        <v>78</v>
      </c>
      <c r="P6" s="47" t="s">
        <v>14</v>
      </c>
      <c r="Q6" s="47" t="s">
        <v>15</v>
      </c>
      <c r="R6" s="47" t="s">
        <v>16</v>
      </c>
      <c r="S6" s="47" t="s">
        <v>17</v>
      </c>
      <c r="T6" s="47" t="s">
        <v>18</v>
      </c>
      <c r="U6" s="47" t="s">
        <v>23</v>
      </c>
      <c r="V6" s="47" t="s">
        <v>19</v>
      </c>
      <c r="W6" s="47" t="s">
        <v>20</v>
      </c>
      <c r="X6" s="47" t="s">
        <v>21</v>
      </c>
      <c r="Y6" s="49" t="s">
        <v>74</v>
      </c>
      <c r="Z6" s="49" t="s">
        <v>75</v>
      </c>
      <c r="AA6" s="49" t="s">
        <v>77</v>
      </c>
      <c r="AB6" s="47" t="s">
        <v>24</v>
      </c>
      <c r="AC6" s="47" t="s">
        <v>25</v>
      </c>
      <c r="AD6" s="47" t="s">
        <v>26</v>
      </c>
      <c r="AE6" s="47" t="s">
        <v>606</v>
      </c>
      <c r="AF6" s="47" t="s">
        <v>28</v>
      </c>
      <c r="AG6" s="49" t="s">
        <v>76</v>
      </c>
      <c r="AH6" s="47" t="s">
        <v>29</v>
      </c>
      <c r="AI6" s="47" t="s">
        <v>30</v>
      </c>
      <c r="AJ6" s="47" t="s">
        <v>31</v>
      </c>
      <c r="AK6" s="47" t="s">
        <v>53</v>
      </c>
      <c r="AL6" s="47" t="s">
        <v>32</v>
      </c>
      <c r="AM6" s="47" t="s">
        <v>33</v>
      </c>
      <c r="AN6" s="47" t="s">
        <v>34</v>
      </c>
      <c r="AO6" s="47" t="s">
        <v>35</v>
      </c>
      <c r="AP6" s="47" t="s">
        <v>38</v>
      </c>
      <c r="AQ6" s="76"/>
      <c r="AR6" s="74"/>
      <c r="AS6" s="74"/>
      <c r="AT6" s="74"/>
      <c r="AU6" s="74"/>
      <c r="AV6" s="70"/>
    </row>
    <row r="7" spans="1:49" hidden="1" x14ac:dyDescent="0.3">
      <c r="A7" s="64"/>
      <c r="B7" s="64">
        <v>187</v>
      </c>
      <c r="C7" s="54">
        <v>580</v>
      </c>
      <c r="D7" s="55">
        <v>0.50000000005820766</v>
      </c>
      <c r="E7" s="55">
        <v>1.5833333332557231</v>
      </c>
      <c r="F7" s="55">
        <v>0.41666666662786156</v>
      </c>
      <c r="G7" s="56">
        <v>2.0000000000582077</v>
      </c>
      <c r="H7" s="56">
        <v>4.6666666666860692</v>
      </c>
      <c r="I7" s="55">
        <v>1.6666666666860692</v>
      </c>
      <c r="J7" s="56">
        <v>6.5000000000582077</v>
      </c>
      <c r="K7" s="55">
        <v>0.75</v>
      </c>
      <c r="L7" s="55">
        <v>0.83333333325572312</v>
      </c>
      <c r="M7" s="55">
        <v>0.83333333325572312</v>
      </c>
      <c r="N7" s="55">
        <v>3.6666666667442769</v>
      </c>
      <c r="O7" s="55">
        <v>0.88333333341870457</v>
      </c>
      <c r="P7" s="55">
        <v>3.6666666667442769</v>
      </c>
      <c r="Q7" s="55">
        <v>1.3333333333139308</v>
      </c>
      <c r="R7" s="55">
        <v>1.2499999998835847</v>
      </c>
      <c r="S7" s="55">
        <v>0.99999999994179234</v>
      </c>
      <c r="T7" s="55">
        <v>0.99999999994179234</v>
      </c>
      <c r="U7" s="55">
        <v>5.4999999999417923</v>
      </c>
      <c r="V7" s="55">
        <v>0</v>
      </c>
      <c r="W7" s="56">
        <v>33.949999999953434</v>
      </c>
      <c r="X7" s="55">
        <v>1.5</v>
      </c>
      <c r="Y7" s="55">
        <v>1.3500000000349246</v>
      </c>
      <c r="Z7" s="55">
        <v>0</v>
      </c>
      <c r="AA7" s="55">
        <v>0.75</v>
      </c>
      <c r="AB7" s="55">
        <v>0</v>
      </c>
      <c r="AC7" s="55">
        <v>0</v>
      </c>
      <c r="AD7" s="55">
        <v>0</v>
      </c>
      <c r="AE7" s="55">
        <v>0</v>
      </c>
      <c r="AF7" s="55">
        <v>0.99999999994179234</v>
      </c>
      <c r="AG7" s="55">
        <v>0.99999999994179234</v>
      </c>
      <c r="AH7" s="55">
        <v>0.99999999994179234</v>
      </c>
      <c r="AI7" s="55">
        <v>1.5</v>
      </c>
      <c r="AJ7" s="55">
        <v>0.96666666667442769</v>
      </c>
      <c r="AK7" s="56">
        <v>30.75</v>
      </c>
      <c r="AL7" s="55">
        <v>0.40000000008149073</v>
      </c>
      <c r="AM7" s="56">
        <v>1.0833333333721384</v>
      </c>
      <c r="AN7" s="55">
        <v>0</v>
      </c>
      <c r="AO7" s="55">
        <v>0</v>
      </c>
      <c r="AP7" s="55">
        <v>0</v>
      </c>
      <c r="AQ7" s="57"/>
      <c r="AR7" s="58">
        <v>1</v>
      </c>
      <c r="AS7" s="59">
        <v>61.950000000128057</v>
      </c>
      <c r="AT7" s="59">
        <v>-228</v>
      </c>
      <c r="AU7" s="59">
        <v>-2.9473684210526319</v>
      </c>
      <c r="AV7" s="65"/>
    </row>
    <row r="8" spans="1:49" hidden="1" x14ac:dyDescent="0.3">
      <c r="A8" s="64"/>
      <c r="B8" s="64">
        <v>187</v>
      </c>
      <c r="C8" s="54">
        <v>581</v>
      </c>
      <c r="D8" s="55">
        <v>0.50000000005820766</v>
      </c>
      <c r="E8" s="55">
        <v>1.1666666666278616</v>
      </c>
      <c r="F8" s="55">
        <v>0.41666666662786156</v>
      </c>
      <c r="G8" s="55">
        <v>1.8333333333721384</v>
      </c>
      <c r="H8" s="56">
        <v>3.3333333333721384</v>
      </c>
      <c r="I8" s="55">
        <v>1.5833333332557231</v>
      </c>
      <c r="J8" s="55">
        <v>1.2500000000582077</v>
      </c>
      <c r="K8" s="55">
        <v>4.8333333333721384</v>
      </c>
      <c r="L8" s="55">
        <v>1.0833333333721384</v>
      </c>
      <c r="M8" s="55">
        <v>4.5500000001629815</v>
      </c>
      <c r="N8" s="55">
        <v>5.0833333334885538</v>
      </c>
      <c r="O8" s="55">
        <v>0</v>
      </c>
      <c r="P8" s="55">
        <v>3.9999999999417923</v>
      </c>
      <c r="Q8" s="55">
        <v>1.1666666666278616</v>
      </c>
      <c r="R8" s="55">
        <v>0</v>
      </c>
      <c r="S8" s="55">
        <v>0.66666666674427688</v>
      </c>
      <c r="T8" s="55">
        <v>0.66666666674427688</v>
      </c>
      <c r="U8" s="55">
        <v>2.5000000001164153</v>
      </c>
      <c r="V8" s="56">
        <v>7.0000000001164153</v>
      </c>
      <c r="W8" s="55">
        <v>3.4166666666278616</v>
      </c>
      <c r="X8" s="55">
        <v>2.0000000000582077</v>
      </c>
      <c r="Y8" s="55">
        <v>0.83333333325572312</v>
      </c>
      <c r="Z8" s="55">
        <v>0</v>
      </c>
      <c r="AA8" s="55">
        <v>0</v>
      </c>
      <c r="AB8" s="55">
        <v>0</v>
      </c>
      <c r="AC8" s="55">
        <v>0</v>
      </c>
      <c r="AD8" s="55">
        <v>0</v>
      </c>
      <c r="AE8" s="55">
        <v>0</v>
      </c>
      <c r="AF8" s="55">
        <v>0.75</v>
      </c>
      <c r="AG8" s="55">
        <v>0.6666666665696539</v>
      </c>
      <c r="AH8" s="55">
        <v>0.6666666665696539</v>
      </c>
      <c r="AI8" s="55">
        <v>0.91666666668606922</v>
      </c>
      <c r="AJ8" s="55">
        <v>2.0000000000582077</v>
      </c>
      <c r="AK8" s="55">
        <v>2.8166666667675599</v>
      </c>
      <c r="AL8" s="55">
        <v>0.58333333331393078</v>
      </c>
      <c r="AM8" s="56">
        <v>1.0000000001164153</v>
      </c>
      <c r="AN8" s="55">
        <v>0.99999999994179234</v>
      </c>
      <c r="AO8" s="56">
        <v>1.9999999998835847</v>
      </c>
      <c r="AP8" s="55">
        <v>0</v>
      </c>
      <c r="AQ8" s="57"/>
      <c r="AR8" s="58">
        <v>1</v>
      </c>
      <c r="AS8" s="59">
        <v>5.3333333334885538</v>
      </c>
      <c r="AT8" s="59">
        <v>-172.26666666666668</v>
      </c>
      <c r="AU8" s="59">
        <v>-3.9009287925696596</v>
      </c>
      <c r="AV8" s="65" t="s">
        <v>763</v>
      </c>
    </row>
    <row r="9" spans="1:49" hidden="1" x14ac:dyDescent="0.3">
      <c r="A9" s="64"/>
      <c r="B9" s="64">
        <v>187</v>
      </c>
      <c r="C9" s="54">
        <v>582</v>
      </c>
      <c r="D9" s="55">
        <v>0.50000000005820766</v>
      </c>
      <c r="E9" s="55">
        <v>0.83333333325572312</v>
      </c>
      <c r="F9" s="55">
        <v>0.58333333331393078</v>
      </c>
      <c r="G9" s="56">
        <v>2.0000000000582077</v>
      </c>
      <c r="H9" s="56">
        <v>3.3333333333721384</v>
      </c>
      <c r="I9" s="55">
        <v>1.3333333334885538</v>
      </c>
      <c r="J9" s="55">
        <v>-3.6000000000349246</v>
      </c>
      <c r="K9" s="56">
        <v>9.1166666666977108</v>
      </c>
      <c r="L9" s="56">
        <v>8.3166666667093523</v>
      </c>
      <c r="M9" s="56">
        <v>5.3333333334303461</v>
      </c>
      <c r="N9" s="55">
        <v>5.3666666666977108</v>
      </c>
      <c r="O9" s="55">
        <v>0.91666666651144624</v>
      </c>
      <c r="P9" s="55">
        <v>0</v>
      </c>
      <c r="Q9" s="55">
        <v>0.83333333325572312</v>
      </c>
      <c r="R9" s="56">
        <v>102</v>
      </c>
      <c r="S9" s="55">
        <v>0.31666666665114462</v>
      </c>
      <c r="T9" s="55">
        <v>0.8333333334303461</v>
      </c>
      <c r="U9" s="55">
        <v>4.0833333331975155</v>
      </c>
      <c r="V9" s="55">
        <v>0</v>
      </c>
      <c r="W9" s="55">
        <v>3.75</v>
      </c>
      <c r="X9" s="55">
        <v>2.0000000000582077</v>
      </c>
      <c r="Y9" s="56">
        <v>66</v>
      </c>
      <c r="Z9" s="55">
        <v>1.1000000000931323</v>
      </c>
      <c r="AA9" s="55">
        <v>0.88333333324408159</v>
      </c>
      <c r="AB9" s="55">
        <v>0</v>
      </c>
      <c r="AC9" s="55">
        <v>0</v>
      </c>
      <c r="AD9" s="55">
        <v>0</v>
      </c>
      <c r="AE9" s="55">
        <v>0</v>
      </c>
      <c r="AF9" s="55">
        <v>0.75</v>
      </c>
      <c r="AG9" s="55">
        <v>0.75</v>
      </c>
      <c r="AH9" s="55">
        <v>0</v>
      </c>
      <c r="AI9" s="55">
        <v>1.3333333333139308</v>
      </c>
      <c r="AJ9" s="56">
        <v>16.333333333313931</v>
      </c>
      <c r="AK9" s="55">
        <v>2.3833333334187046</v>
      </c>
      <c r="AL9" s="55">
        <v>0.75</v>
      </c>
      <c r="AM9" s="55">
        <v>0</v>
      </c>
      <c r="AN9" s="55">
        <v>0.90000000013969839</v>
      </c>
      <c r="AO9" s="56">
        <v>1.5</v>
      </c>
      <c r="AP9" s="55">
        <v>0.33333333337213844</v>
      </c>
      <c r="AQ9" s="57"/>
      <c r="AR9" s="58">
        <v>1</v>
      </c>
      <c r="AS9" s="59">
        <v>186.93333333358169</v>
      </c>
      <c r="AT9" s="59">
        <v>-236</v>
      </c>
      <c r="AU9" s="59">
        <v>-2.847457627118644</v>
      </c>
      <c r="AV9" s="65"/>
    </row>
    <row r="10" spans="1:49" hidden="1" x14ac:dyDescent="0.3">
      <c r="A10" s="64"/>
      <c r="B10" s="64">
        <v>187</v>
      </c>
      <c r="C10" s="54">
        <v>585</v>
      </c>
      <c r="D10" s="55">
        <v>0.50000000005820766</v>
      </c>
      <c r="E10" s="55">
        <v>0</v>
      </c>
      <c r="F10" s="55">
        <v>0.41666666662786156</v>
      </c>
      <c r="G10" s="55">
        <v>1.7499999999417923</v>
      </c>
      <c r="H10" s="56">
        <v>2.3333333332557231</v>
      </c>
      <c r="I10" s="56">
        <v>2.0000000000582077</v>
      </c>
      <c r="J10" s="56">
        <v>9</v>
      </c>
      <c r="K10" s="56">
        <v>8.6666666666278616</v>
      </c>
      <c r="L10" s="56">
        <v>8.7666666667792015</v>
      </c>
      <c r="M10" s="56">
        <v>7.5833333334303461</v>
      </c>
      <c r="N10" s="55">
        <v>0</v>
      </c>
      <c r="O10" s="55">
        <v>-24</v>
      </c>
      <c r="P10" s="56">
        <v>5.0000000000582077</v>
      </c>
      <c r="Q10" s="55">
        <v>0</v>
      </c>
      <c r="R10" s="55">
        <v>1.2500000000582077</v>
      </c>
      <c r="S10" s="56">
        <v>1.0000000001164153</v>
      </c>
      <c r="T10" s="55">
        <v>-3</v>
      </c>
      <c r="U10" s="56">
        <v>17.416666666686069</v>
      </c>
      <c r="V10" s="55">
        <v>0</v>
      </c>
      <c r="W10" s="55">
        <v>3.9999999999417923</v>
      </c>
      <c r="X10" s="55">
        <v>1.8333333333721384</v>
      </c>
      <c r="Y10" s="55">
        <v>1.5</v>
      </c>
      <c r="Z10" s="55">
        <v>0</v>
      </c>
      <c r="AA10" s="55">
        <v>0</v>
      </c>
      <c r="AB10" s="55">
        <v>6</v>
      </c>
      <c r="AC10" s="55">
        <v>0</v>
      </c>
      <c r="AD10" s="55">
        <v>1.9999999998835847</v>
      </c>
      <c r="AE10" s="56">
        <v>20.666666666627862</v>
      </c>
      <c r="AF10" s="55">
        <v>0.70000000001164153</v>
      </c>
      <c r="AG10" s="55">
        <v>0.56666666659293696</v>
      </c>
      <c r="AH10" s="55">
        <v>0.99999999994179234</v>
      </c>
      <c r="AI10" s="55">
        <v>1.6666666666860692</v>
      </c>
      <c r="AJ10" s="56">
        <v>18.500000000058208</v>
      </c>
      <c r="AK10" s="55">
        <v>2.6666666666278616</v>
      </c>
      <c r="AL10" s="55">
        <v>0.81666666670935228</v>
      </c>
      <c r="AM10" s="56">
        <v>1.033333333209157</v>
      </c>
      <c r="AN10" s="55">
        <v>0.99999999994179234</v>
      </c>
      <c r="AO10" s="56">
        <v>1.0000000001164153</v>
      </c>
      <c r="AP10" s="55">
        <v>1.5</v>
      </c>
      <c r="AQ10" s="57"/>
      <c r="AR10" s="58">
        <v>1</v>
      </c>
      <c r="AS10" s="59">
        <v>60.966666667023674</v>
      </c>
      <c r="AT10" s="59">
        <v>-186.5</v>
      </c>
      <c r="AU10" s="59">
        <v>-3.6032171581769439</v>
      </c>
      <c r="AV10" s="65" t="s">
        <v>776</v>
      </c>
    </row>
    <row r="11" spans="1:49" hidden="1" x14ac:dyDescent="0.3">
      <c r="A11" s="64"/>
      <c r="B11" s="64">
        <v>188</v>
      </c>
      <c r="C11" s="54">
        <v>583</v>
      </c>
      <c r="D11" s="55">
        <v>0.49999999988358468</v>
      </c>
      <c r="E11" s="55">
        <v>-22.583333333255723</v>
      </c>
      <c r="F11" s="55">
        <v>0.50000000005820766</v>
      </c>
      <c r="G11" s="55">
        <v>1.6666666666860692</v>
      </c>
      <c r="H11" s="56">
        <v>2.3333333334303461</v>
      </c>
      <c r="I11" s="55">
        <v>1.4166666667442769</v>
      </c>
      <c r="J11" s="55">
        <v>0.33333333337213844</v>
      </c>
      <c r="K11" s="55">
        <v>1.3333333333139308</v>
      </c>
      <c r="L11" s="55">
        <v>0.83333333325572312</v>
      </c>
      <c r="M11" s="55">
        <v>0.83333333325572312</v>
      </c>
      <c r="N11" s="56">
        <v>37.5</v>
      </c>
      <c r="O11" s="55">
        <v>0</v>
      </c>
      <c r="P11" s="55">
        <v>0.8333333334303461</v>
      </c>
      <c r="Q11" s="55">
        <v>0.91666666668606922</v>
      </c>
      <c r="R11" s="55">
        <v>0.66666666674427688</v>
      </c>
      <c r="S11" s="55">
        <v>0.75</v>
      </c>
      <c r="T11" s="55">
        <v>2.3333333332557231</v>
      </c>
      <c r="U11" s="56">
        <v>61.583333333430346</v>
      </c>
      <c r="V11" s="55">
        <v>0</v>
      </c>
      <c r="W11" s="55">
        <v>0</v>
      </c>
      <c r="X11" s="56">
        <v>40.5</v>
      </c>
      <c r="Y11" s="55">
        <v>0</v>
      </c>
      <c r="Z11" s="56">
        <v>65.500000000116415</v>
      </c>
      <c r="AA11" s="55">
        <v>0</v>
      </c>
      <c r="AB11" s="55">
        <v>0</v>
      </c>
      <c r="AC11" s="55">
        <v>0</v>
      </c>
      <c r="AD11" s="55">
        <v>0</v>
      </c>
      <c r="AE11" s="55">
        <v>0</v>
      </c>
      <c r="AF11" s="55">
        <v>0.75</v>
      </c>
      <c r="AG11" s="55">
        <v>0.70000000001164153</v>
      </c>
      <c r="AH11" s="55">
        <v>0</v>
      </c>
      <c r="AI11" s="56">
        <v>2.25</v>
      </c>
      <c r="AJ11" s="55">
        <v>0</v>
      </c>
      <c r="AK11" s="56">
        <v>3.1666666666860692</v>
      </c>
      <c r="AL11" s="55">
        <v>0.93333333340706304</v>
      </c>
      <c r="AM11" s="56">
        <v>1.0000000001164153</v>
      </c>
      <c r="AN11" s="55">
        <v>0.99999999994179234</v>
      </c>
      <c r="AO11" s="55">
        <v>0.99999999994179234</v>
      </c>
      <c r="AP11" s="55">
        <v>0.25000000011641532</v>
      </c>
      <c r="AQ11" s="57"/>
      <c r="AR11" s="58">
        <v>1</v>
      </c>
      <c r="AS11" s="59">
        <v>187.83333333377959</v>
      </c>
      <c r="AT11" s="59">
        <v>-198.53333333333333</v>
      </c>
      <c r="AU11" s="59">
        <v>-3.3848220282068504</v>
      </c>
      <c r="AV11" s="65"/>
    </row>
    <row r="12" spans="1:49" hidden="1" x14ac:dyDescent="0.3">
      <c r="A12" s="64"/>
      <c r="B12" s="64">
        <v>188</v>
      </c>
      <c r="C12" s="54">
        <v>584</v>
      </c>
      <c r="D12" s="55">
        <v>0</v>
      </c>
      <c r="E12" s="55">
        <v>1.1666666666278616</v>
      </c>
      <c r="F12" s="55">
        <v>0.58333333331393078</v>
      </c>
      <c r="G12" s="55">
        <v>1.9166666666278616</v>
      </c>
      <c r="H12" s="56">
        <v>2.5833333333721384</v>
      </c>
      <c r="I12" s="55">
        <v>1.5</v>
      </c>
      <c r="J12" s="55">
        <v>1.6166666666977108</v>
      </c>
      <c r="K12" s="55">
        <v>2.1666666665696539</v>
      </c>
      <c r="L12" s="56">
        <v>5.8833333333022892</v>
      </c>
      <c r="M12" s="55">
        <v>0.75</v>
      </c>
      <c r="N12" s="55">
        <v>2.816666666592937</v>
      </c>
      <c r="O12" s="55">
        <v>0.99999999994179234</v>
      </c>
      <c r="P12" s="55">
        <v>1.5333333334419876</v>
      </c>
      <c r="Q12" s="55">
        <v>1.033333333209157</v>
      </c>
      <c r="R12" s="55">
        <v>0.8333333334303461</v>
      </c>
      <c r="S12" s="55">
        <v>0.58333333331393078</v>
      </c>
      <c r="T12" s="55">
        <v>0.99999999994179234</v>
      </c>
      <c r="U12" s="56">
        <v>20.166666666569654</v>
      </c>
      <c r="V12" s="55">
        <v>0</v>
      </c>
      <c r="W12" s="55">
        <v>0</v>
      </c>
      <c r="X12" s="56">
        <v>15.533333333325572</v>
      </c>
      <c r="Y12" s="55">
        <v>0</v>
      </c>
      <c r="Z12" s="55">
        <v>0</v>
      </c>
      <c r="AA12" s="55">
        <v>0.66666666674427688</v>
      </c>
      <c r="AB12" s="55">
        <v>6.2499999999417923</v>
      </c>
      <c r="AC12" s="55">
        <v>0</v>
      </c>
      <c r="AD12" s="55">
        <v>1.5</v>
      </c>
      <c r="AE12" s="55">
        <v>0</v>
      </c>
      <c r="AF12" s="55">
        <v>0</v>
      </c>
      <c r="AG12" s="55">
        <v>0</v>
      </c>
      <c r="AH12" s="55">
        <v>0</v>
      </c>
      <c r="AI12" s="55">
        <v>1.5333333332673647</v>
      </c>
      <c r="AJ12" s="55">
        <v>0.91666666651144624</v>
      </c>
      <c r="AK12" s="55">
        <v>2.25</v>
      </c>
      <c r="AL12" s="55">
        <v>0.8333333334303461</v>
      </c>
      <c r="AM12" s="55">
        <v>0.99999999994179234</v>
      </c>
      <c r="AN12" s="55">
        <v>0.75</v>
      </c>
      <c r="AO12" s="55">
        <v>0.8333333334303461</v>
      </c>
      <c r="AP12" s="55">
        <v>0.63333333330228925</v>
      </c>
      <c r="AQ12" s="57"/>
      <c r="AR12" s="58">
        <v>1</v>
      </c>
      <c r="AS12" s="59">
        <v>27.166666666569654</v>
      </c>
      <c r="AT12" s="59">
        <v>-144.01666666666668</v>
      </c>
      <c r="AU12" s="59">
        <v>-4.6661266057169302</v>
      </c>
      <c r="AV12" s="65"/>
    </row>
    <row r="13" spans="1:49" hidden="1" x14ac:dyDescent="0.3">
      <c r="A13" s="64"/>
      <c r="B13" s="64">
        <v>189</v>
      </c>
      <c r="C13" s="54">
        <v>586</v>
      </c>
      <c r="D13" s="55">
        <v>0.41666666662786156</v>
      </c>
      <c r="E13" s="55">
        <v>1.0833333333721384</v>
      </c>
      <c r="F13" s="55">
        <v>0.50000000005820766</v>
      </c>
      <c r="G13" s="55">
        <v>1.7499999999417923</v>
      </c>
      <c r="H13" s="56">
        <v>2.9166666667442769</v>
      </c>
      <c r="I13" s="55">
        <v>1.5833333332557231</v>
      </c>
      <c r="J13" s="55">
        <v>-24</v>
      </c>
      <c r="K13" s="55">
        <v>1.4166666665696539</v>
      </c>
      <c r="L13" s="55">
        <v>4.1666666666278616</v>
      </c>
      <c r="M13" s="55">
        <v>4.1666666666278616</v>
      </c>
      <c r="N13" s="55">
        <v>0</v>
      </c>
      <c r="O13" s="55">
        <v>0</v>
      </c>
      <c r="P13" s="55">
        <v>0.75</v>
      </c>
      <c r="Q13" s="55">
        <v>0.99999999994179234</v>
      </c>
      <c r="R13" s="55">
        <v>1.0833333331975155</v>
      </c>
      <c r="S13" s="55">
        <v>0.66666666674427688</v>
      </c>
      <c r="T13" s="55">
        <v>0.8333333334303461</v>
      </c>
      <c r="U13" s="55">
        <v>4.9166666668024845</v>
      </c>
      <c r="V13" s="55">
        <v>0</v>
      </c>
      <c r="W13" s="56">
        <v>51.183333333407063</v>
      </c>
      <c r="X13" s="56">
        <v>50.800000000046566</v>
      </c>
      <c r="Y13" s="55">
        <v>0</v>
      </c>
      <c r="Z13" s="55">
        <v>0</v>
      </c>
      <c r="AA13" s="55">
        <v>0</v>
      </c>
      <c r="AB13" s="55">
        <v>6.5000000000582077</v>
      </c>
      <c r="AC13" s="55">
        <v>0</v>
      </c>
      <c r="AD13" s="55">
        <v>0</v>
      </c>
      <c r="AE13" s="55">
        <v>0</v>
      </c>
      <c r="AF13" s="55">
        <v>0.6666666665696539</v>
      </c>
      <c r="AG13" s="56">
        <v>1.0833333333721384</v>
      </c>
      <c r="AH13" s="55">
        <v>0.75</v>
      </c>
      <c r="AI13" s="55">
        <v>0.6666666665696539</v>
      </c>
      <c r="AJ13" s="55">
        <v>0</v>
      </c>
      <c r="AK13" s="55">
        <v>2.9166666665696539</v>
      </c>
      <c r="AL13" s="55">
        <v>0</v>
      </c>
      <c r="AM13" s="56">
        <v>1.0000000001164153</v>
      </c>
      <c r="AN13" s="55">
        <v>0.99999999994179234</v>
      </c>
      <c r="AO13" s="56">
        <v>2.0000000000582077</v>
      </c>
      <c r="AP13" s="55">
        <v>0.41666666662786156</v>
      </c>
      <c r="AQ13" s="57"/>
      <c r="AR13" s="58">
        <v>1</v>
      </c>
      <c r="AS13" s="59">
        <v>95.983333333744667</v>
      </c>
      <c r="AT13" s="59">
        <v>-203.91666666666666</v>
      </c>
      <c r="AU13" s="59">
        <v>-3.2954638332652233</v>
      </c>
      <c r="AV13" s="65" t="s">
        <v>777</v>
      </c>
    </row>
    <row r="14" spans="1:49" hidden="1" x14ac:dyDescent="0.3">
      <c r="A14" s="64"/>
      <c r="B14" s="64">
        <v>189</v>
      </c>
      <c r="C14" s="54">
        <v>587</v>
      </c>
      <c r="D14" s="55">
        <v>0</v>
      </c>
      <c r="E14" s="55">
        <v>1.5</v>
      </c>
      <c r="F14" s="55">
        <v>0.49999999988358468</v>
      </c>
      <c r="G14" s="55">
        <v>1.8333333331975155</v>
      </c>
      <c r="H14" s="56">
        <v>2.4166666666860692</v>
      </c>
      <c r="I14" s="56">
        <v>2.3333333332557231</v>
      </c>
      <c r="J14" s="55">
        <v>1.0833333333721384</v>
      </c>
      <c r="K14" s="55">
        <v>2.1166666665812954</v>
      </c>
      <c r="L14" s="55">
        <v>3</v>
      </c>
      <c r="M14" s="55">
        <v>3</v>
      </c>
      <c r="N14" s="55">
        <v>4.1666666668024845</v>
      </c>
      <c r="O14" s="55">
        <v>0.50000000005820766</v>
      </c>
      <c r="P14" s="55">
        <v>3.9999999999417923</v>
      </c>
      <c r="Q14" s="55">
        <v>0.83333333325572312</v>
      </c>
      <c r="R14" s="56">
        <v>81.500000000058208</v>
      </c>
      <c r="S14" s="55">
        <v>0.75</v>
      </c>
      <c r="T14" s="55">
        <v>0.58333333331393078</v>
      </c>
      <c r="U14" s="56">
        <v>58.333333333313931</v>
      </c>
      <c r="V14" s="56">
        <v>51.366666666639503</v>
      </c>
      <c r="W14" s="56">
        <v>42.833333333430346</v>
      </c>
      <c r="X14" s="56">
        <v>50.933333333465271</v>
      </c>
      <c r="Y14" s="56">
        <v>41.500000000116415</v>
      </c>
      <c r="Z14" s="55">
        <v>1.7499999999417923</v>
      </c>
      <c r="AA14" s="55">
        <v>0</v>
      </c>
      <c r="AB14" s="55">
        <v>6.9999999999417923</v>
      </c>
      <c r="AC14" s="55">
        <v>0</v>
      </c>
      <c r="AD14" s="56">
        <v>3.3333333333721384</v>
      </c>
      <c r="AE14" s="55">
        <v>1.5</v>
      </c>
      <c r="AF14" s="56">
        <v>15.666666666744277</v>
      </c>
      <c r="AG14" s="55">
        <v>0</v>
      </c>
      <c r="AH14" s="56">
        <v>1.0000000001164153</v>
      </c>
      <c r="AI14" s="55">
        <v>0</v>
      </c>
      <c r="AJ14" s="55">
        <v>2.5000000001164153</v>
      </c>
      <c r="AK14" s="55">
        <v>2.6666666666278616</v>
      </c>
      <c r="AL14" s="55">
        <v>0.58333333331393078</v>
      </c>
      <c r="AM14" s="55">
        <v>0.99999999994179234</v>
      </c>
      <c r="AN14" s="55">
        <v>0.99999999994179234</v>
      </c>
      <c r="AO14" s="56">
        <v>1.0000000001164153</v>
      </c>
      <c r="AP14" s="55">
        <v>1.5</v>
      </c>
      <c r="AQ14" s="57"/>
      <c r="AR14" s="58">
        <v>1</v>
      </c>
      <c r="AS14" s="59">
        <v>321.21666666731471</v>
      </c>
      <c r="AT14" s="59">
        <v>-214</v>
      </c>
      <c r="AU14" s="59">
        <v>-3.1401869158878508</v>
      </c>
      <c r="AV14" s="65" t="s">
        <v>775</v>
      </c>
    </row>
    <row r="15" spans="1:49" x14ac:dyDescent="0.3">
      <c r="A15" s="64"/>
      <c r="B15" s="64">
        <v>189</v>
      </c>
      <c r="C15" s="54">
        <v>588</v>
      </c>
      <c r="D15" s="55">
        <v>0.58333333331393078</v>
      </c>
      <c r="E15" s="56">
        <v>2.8333333333139308</v>
      </c>
      <c r="F15" s="55">
        <v>0.50000000005820766</v>
      </c>
      <c r="G15" s="55">
        <v>1.7500000001164153</v>
      </c>
      <c r="H15" s="56">
        <v>2.4999999999417923</v>
      </c>
      <c r="I15" s="55">
        <v>1.5833333334303461</v>
      </c>
      <c r="J15" s="60"/>
      <c r="K15" s="60"/>
      <c r="L15" s="60"/>
      <c r="M15" s="60"/>
      <c r="N15" s="60"/>
      <c r="O15" s="60"/>
      <c r="P15" s="60"/>
      <c r="Q15" s="55">
        <v>1.0000000001164153</v>
      </c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57"/>
      <c r="AR15" s="61">
        <v>0.17948717948717949</v>
      </c>
      <c r="AS15" s="59">
        <v>1.3333333332557231</v>
      </c>
      <c r="AT15" s="59">
        <v>838.06666666666672</v>
      </c>
      <c r="AU15" s="59">
        <v>0.80184551746082244</v>
      </c>
      <c r="AV15" s="65"/>
    </row>
    <row r="16" spans="1:49" hidden="1" x14ac:dyDescent="0.3">
      <c r="A16" s="64"/>
      <c r="B16" s="64">
        <v>190</v>
      </c>
      <c r="C16" s="54">
        <v>589</v>
      </c>
      <c r="D16" s="55">
        <v>0.41666666680248454</v>
      </c>
      <c r="E16" s="55">
        <v>0.83333333325572312</v>
      </c>
      <c r="F16" s="55">
        <v>0.50000000005820766</v>
      </c>
      <c r="G16" s="55">
        <v>1.7500000001164153</v>
      </c>
      <c r="H16" s="55">
        <v>1.7499999999417923</v>
      </c>
      <c r="I16" s="55">
        <v>1.9166666666278616</v>
      </c>
      <c r="J16" s="55">
        <v>0.88333333324408159</v>
      </c>
      <c r="K16" s="55">
        <v>2.9500000000116415</v>
      </c>
      <c r="L16" s="56">
        <v>5.53333333338378</v>
      </c>
      <c r="M16" s="56">
        <v>5.53333333338378</v>
      </c>
      <c r="N16" s="55">
        <v>3.7333333332790062</v>
      </c>
      <c r="O16" s="55">
        <v>0</v>
      </c>
      <c r="P16" s="56">
        <v>5.1666666667442769</v>
      </c>
      <c r="Q16" s="55">
        <v>0.99999999994179234</v>
      </c>
      <c r="R16" s="55">
        <v>0.99999999994179234</v>
      </c>
      <c r="S16" s="56">
        <v>1.0833333333721384</v>
      </c>
      <c r="T16" s="55">
        <v>0.58333333331393078</v>
      </c>
      <c r="U16" s="55">
        <v>5.25</v>
      </c>
      <c r="V16" s="55">
        <v>3.75</v>
      </c>
      <c r="W16" s="55">
        <v>3</v>
      </c>
      <c r="X16" s="55">
        <v>3.9999999999417923</v>
      </c>
      <c r="Y16" s="56">
        <v>2.0000000000582077</v>
      </c>
      <c r="Z16" s="55">
        <v>1.5</v>
      </c>
      <c r="AA16" s="55">
        <v>0</v>
      </c>
      <c r="AB16" s="55">
        <v>5.5000000001164153</v>
      </c>
      <c r="AC16" s="55">
        <v>0</v>
      </c>
      <c r="AD16" s="56">
        <v>2.4999999999417923</v>
      </c>
      <c r="AE16" s="55">
        <v>0</v>
      </c>
      <c r="AF16" s="55">
        <v>0.99999999994179234</v>
      </c>
      <c r="AG16" s="55">
        <v>0.75</v>
      </c>
      <c r="AH16" s="55">
        <v>0.99999999994179234</v>
      </c>
      <c r="AI16" s="56">
        <v>6.8333333334303461</v>
      </c>
      <c r="AJ16" s="56">
        <v>6</v>
      </c>
      <c r="AK16" s="56">
        <v>4.1666666668024845</v>
      </c>
      <c r="AL16" s="55">
        <v>0.71666666673263535</v>
      </c>
      <c r="AM16" s="55">
        <v>0</v>
      </c>
      <c r="AN16" s="55">
        <v>0.99999999994179234</v>
      </c>
      <c r="AO16" s="55">
        <v>0</v>
      </c>
      <c r="AP16" s="55">
        <v>1.0833333333721384</v>
      </c>
      <c r="AQ16" s="57"/>
      <c r="AR16" s="58">
        <v>1</v>
      </c>
      <c r="AS16" s="59">
        <v>11.816666667116806</v>
      </c>
      <c r="AT16" s="59">
        <v>-194.15</v>
      </c>
      <c r="AU16" s="59">
        <v>-3.4612413082668039</v>
      </c>
      <c r="AV16" s="65"/>
    </row>
    <row r="17" spans="1:48" hidden="1" x14ac:dyDescent="0.3">
      <c r="A17" s="64"/>
      <c r="B17" s="64">
        <v>190</v>
      </c>
      <c r="C17" s="54">
        <v>590</v>
      </c>
      <c r="D17" s="55">
        <v>0.41666666662786156</v>
      </c>
      <c r="E17" s="55">
        <v>0.83333333325572312</v>
      </c>
      <c r="F17" s="55">
        <v>0.49999999988358468</v>
      </c>
      <c r="G17" s="56">
        <v>3.4999999998835847</v>
      </c>
      <c r="H17" s="56">
        <v>2.6666666666278616</v>
      </c>
      <c r="I17" s="55">
        <v>1.6666666666860692</v>
      </c>
      <c r="J17" s="56">
        <v>6.3666666666395031</v>
      </c>
      <c r="K17" s="55">
        <v>0.99999999994179234</v>
      </c>
      <c r="L17" s="55">
        <v>3.4166666668024845</v>
      </c>
      <c r="M17" s="56">
        <v>42.500000000058208</v>
      </c>
      <c r="N17" s="55">
        <v>5.1666666667442769</v>
      </c>
      <c r="O17" s="55">
        <v>0.53333333332557231</v>
      </c>
      <c r="P17" s="55">
        <v>0.49999999988358468</v>
      </c>
      <c r="Q17" s="55">
        <v>1.3333333333139308</v>
      </c>
      <c r="R17" s="55">
        <v>1.1666666666278616</v>
      </c>
      <c r="S17" s="55">
        <v>0.63333333330228925</v>
      </c>
      <c r="T17" s="56">
        <v>4.0000000001164153</v>
      </c>
      <c r="U17" s="55">
        <v>0.41666666662786156</v>
      </c>
      <c r="V17" s="56">
        <v>5.1666666665696539</v>
      </c>
      <c r="W17" s="55">
        <v>0</v>
      </c>
      <c r="X17" s="55">
        <v>3.75</v>
      </c>
      <c r="Y17" s="55">
        <v>0</v>
      </c>
      <c r="Z17" s="56">
        <v>2.0000000000582077</v>
      </c>
      <c r="AA17" s="55">
        <v>0</v>
      </c>
      <c r="AB17" s="55">
        <v>0</v>
      </c>
      <c r="AC17" s="55">
        <v>0</v>
      </c>
      <c r="AD17" s="55">
        <v>1.5</v>
      </c>
      <c r="AE17" s="55">
        <v>0</v>
      </c>
      <c r="AF17" s="56">
        <v>1.0000000001164153</v>
      </c>
      <c r="AG17" s="56">
        <v>1.0000000001164153</v>
      </c>
      <c r="AH17" s="56">
        <v>1.0000000001164153</v>
      </c>
      <c r="AI17" s="55">
        <v>1.6666666666860692</v>
      </c>
      <c r="AJ17" s="56">
        <v>40.616666666523088</v>
      </c>
      <c r="AK17" s="56">
        <v>4.0000000001164153</v>
      </c>
      <c r="AL17" s="55">
        <v>0.58333333331393078</v>
      </c>
      <c r="AM17" s="55">
        <v>0.99999999994179234</v>
      </c>
      <c r="AN17" s="55">
        <v>0.99999999994179234</v>
      </c>
      <c r="AO17" s="55">
        <v>0.99999999994179234</v>
      </c>
      <c r="AP17" s="55">
        <v>0.24999999994179234</v>
      </c>
      <c r="AQ17" s="57"/>
      <c r="AR17" s="58">
        <v>1</v>
      </c>
      <c r="AS17" s="59">
        <v>81.816666666942183</v>
      </c>
      <c r="AT17" s="59">
        <v>-192.5</v>
      </c>
      <c r="AU17" s="59">
        <v>-3.4909090909090907</v>
      </c>
      <c r="AV17" s="65"/>
    </row>
    <row r="18" spans="1:48" hidden="1" x14ac:dyDescent="0.3">
      <c r="A18" s="64"/>
      <c r="B18" s="64">
        <v>190</v>
      </c>
      <c r="C18" s="54">
        <v>591</v>
      </c>
      <c r="D18" s="55">
        <v>0.50000000005820766</v>
      </c>
      <c r="E18" s="55">
        <v>1.0000000001164153</v>
      </c>
      <c r="F18" s="55">
        <v>0.58333333331393078</v>
      </c>
      <c r="G18" s="55">
        <v>1.7499999999417923</v>
      </c>
      <c r="H18" s="56">
        <v>3</v>
      </c>
      <c r="I18" s="56">
        <v>2.25</v>
      </c>
      <c r="J18" s="55">
        <v>0.66666666674427688</v>
      </c>
      <c r="K18" s="56">
        <v>6.28333333338378</v>
      </c>
      <c r="L18" s="56">
        <v>40.816666666651145</v>
      </c>
      <c r="M18" s="56">
        <v>40.816666666651145</v>
      </c>
      <c r="N18" s="55">
        <v>4.7666666666627862</v>
      </c>
      <c r="O18" s="55">
        <v>0.81666666670935228</v>
      </c>
      <c r="P18" s="55">
        <v>3.6666666667442769</v>
      </c>
      <c r="Q18" s="55">
        <v>1.5</v>
      </c>
      <c r="R18" s="55">
        <v>1.3333333333139308</v>
      </c>
      <c r="S18" s="55">
        <v>0.99999999994179234</v>
      </c>
      <c r="T18" s="56">
        <v>674.85000000003492</v>
      </c>
      <c r="U18" s="56">
        <v>6.8333333334303461</v>
      </c>
      <c r="V18" s="55">
        <v>0</v>
      </c>
      <c r="W18" s="55">
        <v>0</v>
      </c>
      <c r="X18" s="56">
        <v>7.0000000001164153</v>
      </c>
      <c r="Y18" s="56">
        <v>37.000000000116415</v>
      </c>
      <c r="Z18" s="55">
        <v>1.9999999998835847</v>
      </c>
      <c r="AA18" s="55">
        <v>0.66666666674427688</v>
      </c>
      <c r="AB18" s="55">
        <v>6.8333333332557231</v>
      </c>
      <c r="AC18" s="55">
        <v>0</v>
      </c>
      <c r="AD18" s="55">
        <v>1.5833333332557231</v>
      </c>
      <c r="AE18" s="55">
        <v>0</v>
      </c>
      <c r="AF18" s="56">
        <v>2.25</v>
      </c>
      <c r="AG18" s="56">
        <v>2.3333333332557231</v>
      </c>
      <c r="AH18" s="56">
        <v>1.0000000001164153</v>
      </c>
      <c r="AI18" s="55">
        <v>1.5</v>
      </c>
      <c r="AJ18" s="55">
        <v>1.2499999998835847</v>
      </c>
      <c r="AK18" s="56">
        <v>3.5000000000582077</v>
      </c>
      <c r="AL18" s="55">
        <v>0.58333333331393078</v>
      </c>
      <c r="AM18" s="56">
        <v>1.0000000001164153</v>
      </c>
      <c r="AN18" s="56">
        <v>4.3166666667675599</v>
      </c>
      <c r="AO18" s="56">
        <v>1.2499999998835847</v>
      </c>
      <c r="AP18" s="55">
        <v>0.19999999995343387</v>
      </c>
      <c r="AQ18" s="57"/>
      <c r="AR18" s="58">
        <v>1</v>
      </c>
      <c r="AS18" s="59">
        <v>791.50000000058208</v>
      </c>
      <c r="AT18" s="59">
        <v>-159</v>
      </c>
      <c r="AU18" s="59">
        <v>-4.2264150943396226</v>
      </c>
      <c r="AV18" s="65"/>
    </row>
    <row r="19" spans="1:48" hidden="1" x14ac:dyDescent="0.3">
      <c r="A19" s="64"/>
      <c r="B19" s="64">
        <v>191</v>
      </c>
      <c r="C19" s="54">
        <v>592</v>
      </c>
      <c r="D19" s="55">
        <v>0.50000000005820766</v>
      </c>
      <c r="E19" s="55">
        <v>1.0833333333721384</v>
      </c>
      <c r="F19" s="55">
        <v>1.7500000001164153</v>
      </c>
      <c r="G19" s="55">
        <v>-9.8333333334303461</v>
      </c>
      <c r="H19" s="56">
        <v>2.4833333332207985</v>
      </c>
      <c r="I19" s="55">
        <v>1.5833333334303461</v>
      </c>
      <c r="J19" s="56">
        <v>8.5833333331975155</v>
      </c>
      <c r="K19" s="56">
        <v>10.333333333313931</v>
      </c>
      <c r="L19" s="56">
        <v>5.4999999999417923</v>
      </c>
      <c r="M19" s="56">
        <v>5.4999999999417923</v>
      </c>
      <c r="N19" s="55">
        <v>5.2000000000116415</v>
      </c>
      <c r="O19" s="55">
        <v>0.50000000005820766</v>
      </c>
      <c r="P19" s="55">
        <v>3.75</v>
      </c>
      <c r="Q19" s="55">
        <v>1.1666666668024845</v>
      </c>
      <c r="R19" s="55">
        <v>1.3333333333139308</v>
      </c>
      <c r="S19" s="55">
        <v>0.6666666665696539</v>
      </c>
      <c r="T19" s="56">
        <v>4.1666666668024845</v>
      </c>
      <c r="U19" s="55">
        <v>6</v>
      </c>
      <c r="V19" s="55">
        <v>3.9999999999417923</v>
      </c>
      <c r="W19" s="55">
        <v>0</v>
      </c>
      <c r="X19" s="55">
        <v>3.9999999999417923</v>
      </c>
      <c r="Y19" s="55">
        <v>0</v>
      </c>
      <c r="Z19" s="56">
        <v>2.0000000000582077</v>
      </c>
      <c r="AA19" s="55">
        <v>0</v>
      </c>
      <c r="AB19" s="55">
        <v>5.4999999999417923</v>
      </c>
      <c r="AC19" s="55">
        <v>0</v>
      </c>
      <c r="AD19" s="55">
        <v>1.2499999998835847</v>
      </c>
      <c r="AE19" s="56">
        <v>2.0000000000582077</v>
      </c>
      <c r="AF19" s="55">
        <v>0.75</v>
      </c>
      <c r="AG19" s="56">
        <v>2.7500000000582077</v>
      </c>
      <c r="AH19" s="55">
        <v>0.41666666680248454</v>
      </c>
      <c r="AI19" s="55">
        <v>1.5</v>
      </c>
      <c r="AJ19" s="55">
        <v>2.4166666666860692</v>
      </c>
      <c r="AK19" s="56">
        <v>9.0833333334303461</v>
      </c>
      <c r="AL19" s="55">
        <v>0.6666666665696539</v>
      </c>
      <c r="AM19" s="55">
        <v>0.91666666668606922</v>
      </c>
      <c r="AN19" s="55">
        <v>0.88333333341870457</v>
      </c>
      <c r="AO19" s="55">
        <v>0</v>
      </c>
      <c r="AP19" s="55">
        <v>1.0000000001164153</v>
      </c>
      <c r="AQ19" s="57"/>
      <c r="AR19" s="58">
        <v>1</v>
      </c>
      <c r="AS19" s="59">
        <v>19.400000000023283</v>
      </c>
      <c r="AT19" s="59">
        <v>-195.18333333333334</v>
      </c>
      <c r="AU19" s="59">
        <v>-3.4429169157202626</v>
      </c>
      <c r="AV19" s="65"/>
    </row>
    <row r="20" spans="1:48" hidden="1" x14ac:dyDescent="0.3">
      <c r="A20" s="64"/>
      <c r="B20" s="64">
        <v>191</v>
      </c>
      <c r="C20" s="54">
        <v>593</v>
      </c>
      <c r="D20" s="55">
        <v>0.50000000005820766</v>
      </c>
      <c r="E20" s="55">
        <v>0.99999999994179234</v>
      </c>
      <c r="F20" s="55">
        <v>0</v>
      </c>
      <c r="G20" s="55">
        <v>1.8333333333721384</v>
      </c>
      <c r="H20" s="56">
        <v>3.5000000000582077</v>
      </c>
      <c r="I20" s="55">
        <v>1.6666666666860692</v>
      </c>
      <c r="J20" s="56">
        <v>7.2500000000582077</v>
      </c>
      <c r="K20" s="55">
        <v>4.5</v>
      </c>
      <c r="L20" s="55">
        <v>4.7499999999417923</v>
      </c>
      <c r="M20" s="55">
        <v>4.7499999999417923</v>
      </c>
      <c r="N20" s="55">
        <v>-19.750000000116415</v>
      </c>
      <c r="O20" s="55">
        <v>0.58333333331393078</v>
      </c>
      <c r="P20" s="55">
        <v>0.6666666665696539</v>
      </c>
      <c r="Q20" s="55">
        <v>0.91666666668606922</v>
      </c>
      <c r="R20" s="55">
        <v>0.99999999994179234</v>
      </c>
      <c r="S20" s="55">
        <v>0.99999999994179234</v>
      </c>
      <c r="T20" s="55">
        <v>0.99999999994179234</v>
      </c>
      <c r="U20" s="55">
        <v>4.9166666666278616</v>
      </c>
      <c r="V20" s="55">
        <v>3.9999999999417923</v>
      </c>
      <c r="W20" s="56">
        <v>4.0000000001164153</v>
      </c>
      <c r="X20" s="56">
        <v>8.4999999999417923</v>
      </c>
      <c r="Y20" s="56">
        <v>2.0000000000582077</v>
      </c>
      <c r="Z20" s="55">
        <v>1.5</v>
      </c>
      <c r="AA20" s="55">
        <v>0.58333333331393078</v>
      </c>
      <c r="AB20" s="55">
        <v>6.6666666667442769</v>
      </c>
      <c r="AC20" s="56">
        <v>2088</v>
      </c>
      <c r="AD20" s="55">
        <v>1.8333333331975155</v>
      </c>
      <c r="AE20" s="55">
        <v>0</v>
      </c>
      <c r="AF20" s="55">
        <v>0.83333333325572312</v>
      </c>
      <c r="AG20" s="56">
        <v>15.916666666686069</v>
      </c>
      <c r="AH20" s="56">
        <v>3</v>
      </c>
      <c r="AI20" s="56">
        <v>5.0000000000582077</v>
      </c>
      <c r="AJ20" s="55">
        <v>2.4999999999417923</v>
      </c>
      <c r="AK20" s="55">
        <v>2.8166666667675599</v>
      </c>
      <c r="AL20" s="55">
        <v>0.8166666665347293</v>
      </c>
      <c r="AM20" s="56">
        <v>1418.6666666666279</v>
      </c>
      <c r="AN20" s="55">
        <v>0.99999999994179234</v>
      </c>
      <c r="AO20" s="55">
        <v>0</v>
      </c>
      <c r="AP20" s="55">
        <v>0.58333333331393078</v>
      </c>
      <c r="AQ20" s="57"/>
      <c r="AR20" s="58">
        <v>1</v>
      </c>
      <c r="AS20" s="59">
        <v>3529.833333333605</v>
      </c>
      <c r="AT20" s="59">
        <v>-254.01666666666668</v>
      </c>
      <c r="AU20" s="59">
        <v>-2.6454957023817331</v>
      </c>
      <c r="AV20" s="65"/>
    </row>
    <row r="21" spans="1:48" hidden="1" x14ac:dyDescent="0.3">
      <c r="A21" s="64"/>
      <c r="B21" s="64">
        <v>191</v>
      </c>
      <c r="C21" s="54">
        <v>594</v>
      </c>
      <c r="D21" s="55">
        <v>0.49999999988358468</v>
      </c>
      <c r="E21" s="55">
        <v>0.91666666668606922</v>
      </c>
      <c r="F21" s="55">
        <v>0.46666666661622003</v>
      </c>
      <c r="G21" s="55">
        <v>1.8333333331975155</v>
      </c>
      <c r="H21" s="56">
        <v>2.25</v>
      </c>
      <c r="I21" s="55">
        <v>1.3333333334885538</v>
      </c>
      <c r="J21" s="56">
        <v>21.516666666604578</v>
      </c>
      <c r="K21" s="56">
        <v>12.049999999988358</v>
      </c>
      <c r="L21" s="55">
        <v>3.75</v>
      </c>
      <c r="M21" s="55">
        <v>0</v>
      </c>
      <c r="N21" s="55">
        <v>3.4833333333372138</v>
      </c>
      <c r="O21" s="55">
        <v>0.55000000004656613</v>
      </c>
      <c r="P21" s="56">
        <v>4.0000000001164153</v>
      </c>
      <c r="Q21" s="55">
        <v>0.83333333325572312</v>
      </c>
      <c r="R21" s="55">
        <v>1.0833333331975155</v>
      </c>
      <c r="S21" s="55">
        <v>0.66666666674427688</v>
      </c>
      <c r="T21" s="56">
        <v>4.8333333333721384</v>
      </c>
      <c r="U21" s="56">
        <v>6.1666666666860692</v>
      </c>
      <c r="V21" s="55">
        <v>1.9999999998835847</v>
      </c>
      <c r="W21" s="55">
        <v>2.4999999999417923</v>
      </c>
      <c r="X21" s="55">
        <v>3.4999999998835847</v>
      </c>
      <c r="Y21" s="55">
        <v>0</v>
      </c>
      <c r="Z21" s="56">
        <v>2.5000000001164153</v>
      </c>
      <c r="AA21" s="55">
        <v>0.99999999994179234</v>
      </c>
      <c r="AB21" s="55">
        <v>5.7500000000582077</v>
      </c>
      <c r="AC21" s="55">
        <v>0</v>
      </c>
      <c r="AD21" s="55">
        <v>1.5</v>
      </c>
      <c r="AE21" s="56">
        <v>2.0000000000582077</v>
      </c>
      <c r="AF21" s="55">
        <v>0.99999999994179234</v>
      </c>
      <c r="AG21" s="56">
        <v>4.7500000001164153</v>
      </c>
      <c r="AH21" s="55">
        <v>0</v>
      </c>
      <c r="AI21" s="56">
        <v>4.2500000000582077</v>
      </c>
      <c r="AJ21" s="55">
        <v>-1.6666666666860692</v>
      </c>
      <c r="AK21" s="56">
        <v>4.7500000001164153</v>
      </c>
      <c r="AL21" s="55">
        <v>0</v>
      </c>
      <c r="AM21" s="55">
        <v>0.99999999994179234</v>
      </c>
      <c r="AN21" s="55">
        <v>0.99999999994179234</v>
      </c>
      <c r="AO21" s="55">
        <v>0.99999999994179234</v>
      </c>
      <c r="AP21" s="55">
        <v>0.65000000002328306</v>
      </c>
      <c r="AQ21" s="57"/>
      <c r="AR21" s="58">
        <v>1</v>
      </c>
      <c r="AS21" s="59">
        <v>34.066666667233221</v>
      </c>
      <c r="AT21" s="59">
        <v>-145</v>
      </c>
      <c r="AU21" s="59">
        <v>-4.6344827586206891</v>
      </c>
      <c r="AV21" s="65"/>
    </row>
    <row r="22" spans="1:48" hidden="1" x14ac:dyDescent="0.3">
      <c r="A22" s="64"/>
      <c r="B22" s="64">
        <v>192</v>
      </c>
      <c r="C22" s="54">
        <v>595</v>
      </c>
      <c r="D22" s="55">
        <v>0.58333333331393078</v>
      </c>
      <c r="E22" s="55">
        <v>0.99999999994179234</v>
      </c>
      <c r="F22" s="55">
        <v>0.58333333331393078</v>
      </c>
      <c r="G22" s="55">
        <v>1.8333333333721384</v>
      </c>
      <c r="H22" s="56">
        <v>2.6666666666278616</v>
      </c>
      <c r="I22" s="55">
        <v>1.6666666666860692</v>
      </c>
      <c r="J22" s="56">
        <v>12.833333333430346</v>
      </c>
      <c r="K22" s="55">
        <v>-18.416666666627862</v>
      </c>
      <c r="L22" s="55">
        <v>4.5</v>
      </c>
      <c r="M22" s="55">
        <v>4.5</v>
      </c>
      <c r="N22" s="55">
        <v>4.8333333333721384</v>
      </c>
      <c r="O22" s="55">
        <v>0.99999999994179234</v>
      </c>
      <c r="P22" s="55">
        <v>0.58333333331393078</v>
      </c>
      <c r="Q22" s="55">
        <v>1.0833333333721384</v>
      </c>
      <c r="R22" s="55">
        <v>1.1666666666278616</v>
      </c>
      <c r="S22" s="55">
        <v>0.83333333325572312</v>
      </c>
      <c r="T22" s="56">
        <v>31.833333333372138</v>
      </c>
      <c r="U22" s="55">
        <v>5.4999999999417923</v>
      </c>
      <c r="V22" s="55">
        <v>1.9999999998835847</v>
      </c>
      <c r="W22" s="55">
        <v>3.75</v>
      </c>
      <c r="X22" s="56">
        <v>30.499999999883585</v>
      </c>
      <c r="Y22" s="56">
        <v>2.0000000000582077</v>
      </c>
      <c r="Z22" s="55">
        <v>0</v>
      </c>
      <c r="AA22" s="56">
        <v>1.0000000001164153</v>
      </c>
      <c r="AB22" s="55">
        <v>6.75</v>
      </c>
      <c r="AC22" s="55">
        <v>0</v>
      </c>
      <c r="AD22" s="56">
        <v>2.0000000000582077</v>
      </c>
      <c r="AE22" s="56">
        <v>2.8500000000349246</v>
      </c>
      <c r="AF22" s="55">
        <v>0.99999999994179234</v>
      </c>
      <c r="AG22" s="56">
        <v>1.0000000001164153</v>
      </c>
      <c r="AH22" s="55">
        <v>0.99999999994179234</v>
      </c>
      <c r="AI22" s="56">
        <v>6.5000000000582077</v>
      </c>
      <c r="AJ22" s="56">
        <v>4.0666666666511446</v>
      </c>
      <c r="AK22" s="55">
        <v>3</v>
      </c>
      <c r="AL22" s="55">
        <v>8.3333333430346102E-2</v>
      </c>
      <c r="AM22" s="55">
        <v>0.83333333325572312</v>
      </c>
      <c r="AN22" s="56">
        <v>1.0000000001164153</v>
      </c>
      <c r="AO22" s="56">
        <v>4.5666666665347293</v>
      </c>
      <c r="AP22" s="55">
        <v>0.41666666662786156</v>
      </c>
      <c r="AQ22" s="57"/>
      <c r="AR22" s="58">
        <v>1</v>
      </c>
      <c r="AS22" s="59">
        <v>73.816666667058598</v>
      </c>
      <c r="AT22" s="59">
        <v>-170.85</v>
      </c>
      <c r="AU22" s="59">
        <v>-3.9332748024582966</v>
      </c>
      <c r="AV22" s="65"/>
    </row>
    <row r="23" spans="1:48" x14ac:dyDescent="0.3">
      <c r="A23" s="64"/>
      <c r="B23" s="64">
        <v>192</v>
      </c>
      <c r="C23" s="54">
        <v>596</v>
      </c>
      <c r="D23" s="55">
        <v>0.41666666662786156</v>
      </c>
      <c r="E23" s="55">
        <v>0.91666666668606922</v>
      </c>
      <c r="F23" s="55">
        <v>0.58333333331393078</v>
      </c>
      <c r="G23" s="56">
        <v>2.1666666665696539</v>
      </c>
      <c r="H23" s="55">
        <v>1.6666666666860692</v>
      </c>
      <c r="I23" s="55">
        <v>1.5</v>
      </c>
      <c r="J23" s="60"/>
      <c r="K23" s="60"/>
      <c r="L23" s="60"/>
      <c r="M23" s="60"/>
      <c r="N23" s="60"/>
      <c r="O23" s="60"/>
      <c r="P23" s="60"/>
      <c r="Q23" s="55">
        <v>1.0833333333721384</v>
      </c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57"/>
      <c r="AR23" s="61">
        <v>0.17948717948717949</v>
      </c>
      <c r="AS23" s="59">
        <v>0.1666666665696539</v>
      </c>
      <c r="AT23" s="59">
        <v>730.06666666666672</v>
      </c>
      <c r="AU23" s="59">
        <v>0.92046388457675088</v>
      </c>
      <c r="AV23" s="65"/>
    </row>
    <row r="24" spans="1:48" hidden="1" x14ac:dyDescent="0.3">
      <c r="A24" s="64"/>
      <c r="B24" s="64">
        <v>192</v>
      </c>
      <c r="C24" s="54">
        <v>597</v>
      </c>
      <c r="D24" s="55">
        <v>0.41666666662786156</v>
      </c>
      <c r="E24" s="55">
        <v>0.8333333334303461</v>
      </c>
      <c r="F24" s="55">
        <v>0.50000000005820766</v>
      </c>
      <c r="G24" s="56">
        <v>2.0000000000582077</v>
      </c>
      <c r="H24" s="56">
        <v>2.4166666666860692</v>
      </c>
      <c r="I24" s="56">
        <v>2.3333333332557231</v>
      </c>
      <c r="J24" s="55">
        <v>4.1666666668024845</v>
      </c>
      <c r="K24" s="55">
        <v>3.9999999999417923</v>
      </c>
      <c r="L24" s="55">
        <v>3.75</v>
      </c>
      <c r="M24" s="55">
        <v>3.75</v>
      </c>
      <c r="N24" s="55">
        <v>3.5833333333139308</v>
      </c>
      <c r="O24" s="55">
        <v>0.5166666666045785</v>
      </c>
      <c r="P24" s="55">
        <v>1.2833333333255723</v>
      </c>
      <c r="Q24" s="55">
        <v>1.1666666668024845</v>
      </c>
      <c r="R24" s="55">
        <v>0.96666666667442769</v>
      </c>
      <c r="S24" s="55">
        <v>0.6666666665696539</v>
      </c>
      <c r="T24" s="56">
        <v>5.8333333333139308</v>
      </c>
      <c r="U24" s="55">
        <v>5.4166666666860692</v>
      </c>
      <c r="V24" s="56">
        <v>7.5</v>
      </c>
      <c r="W24" s="56">
        <v>4.0000000001164153</v>
      </c>
      <c r="X24" s="55">
        <v>2.7500000000582077</v>
      </c>
      <c r="Y24" s="55">
        <v>1.5</v>
      </c>
      <c r="Z24" s="55">
        <v>1.1500000000814907</v>
      </c>
      <c r="AA24" s="55">
        <v>0.49999999988358468</v>
      </c>
      <c r="AB24" s="55">
        <v>5.4999999999417923</v>
      </c>
      <c r="AC24" s="55">
        <v>0</v>
      </c>
      <c r="AD24" s="56">
        <v>2.1666666667442769</v>
      </c>
      <c r="AE24" s="56">
        <v>14.666666666627862</v>
      </c>
      <c r="AF24" s="55">
        <v>0.99999999994179234</v>
      </c>
      <c r="AG24" s="56">
        <v>3.5000000000582077</v>
      </c>
      <c r="AH24" s="55">
        <v>0.99999999994179234</v>
      </c>
      <c r="AI24" s="56">
        <v>2.5000000001164153</v>
      </c>
      <c r="AJ24" s="56">
        <v>13.833333333372138</v>
      </c>
      <c r="AK24" s="56">
        <v>3.1666666666860692</v>
      </c>
      <c r="AL24" s="55">
        <v>0.33333333337213844</v>
      </c>
      <c r="AM24" s="55">
        <v>0</v>
      </c>
      <c r="AN24" s="55">
        <v>0.8999999999650754</v>
      </c>
      <c r="AO24" s="55">
        <v>0</v>
      </c>
      <c r="AP24" s="55">
        <v>1.4166666667442769</v>
      </c>
      <c r="AQ24" s="57"/>
      <c r="AR24" s="58">
        <v>1</v>
      </c>
      <c r="AS24" s="59">
        <v>33.916666667035315</v>
      </c>
      <c r="AT24" s="59">
        <v>-168</v>
      </c>
      <c r="AU24" s="59">
        <v>-4</v>
      </c>
      <c r="AV24" s="65"/>
    </row>
    <row r="25" spans="1:48" hidden="1" x14ac:dyDescent="0.3">
      <c r="A25" s="64"/>
      <c r="B25" s="64">
        <v>193</v>
      </c>
      <c r="C25" s="54">
        <v>598</v>
      </c>
      <c r="D25" s="55">
        <v>0.50000000005820766</v>
      </c>
      <c r="E25" s="55">
        <v>1.0000000001164153</v>
      </c>
      <c r="F25" s="55">
        <v>0.41666666680248454</v>
      </c>
      <c r="G25" s="55">
        <v>1.7500000001164153</v>
      </c>
      <c r="H25" s="56">
        <v>2.4999999999417923</v>
      </c>
      <c r="I25" s="55">
        <v>1.7500000001164153</v>
      </c>
      <c r="J25" s="56">
        <v>47.333333333430346</v>
      </c>
      <c r="K25" s="55">
        <v>3.3333333333721384</v>
      </c>
      <c r="L25" s="56">
        <v>5.8333333333139308</v>
      </c>
      <c r="M25" s="56">
        <v>5.0000000000582077</v>
      </c>
      <c r="N25" s="55">
        <v>3.9166666666860692</v>
      </c>
      <c r="O25" s="55">
        <v>0.90000000013969839</v>
      </c>
      <c r="P25" s="55">
        <v>0.75</v>
      </c>
      <c r="Q25" s="55">
        <v>1.0833333333721384</v>
      </c>
      <c r="R25" s="55">
        <v>0.99999999994179234</v>
      </c>
      <c r="S25" s="56">
        <v>2.6666666666278616</v>
      </c>
      <c r="T25" s="55">
        <v>2.6666666666278616</v>
      </c>
      <c r="U25" s="55">
        <v>4.5</v>
      </c>
      <c r="V25" s="56">
        <v>8.25</v>
      </c>
      <c r="W25" s="55">
        <v>2.4999999999417923</v>
      </c>
      <c r="X25" s="55">
        <v>3.9999999999417923</v>
      </c>
      <c r="Y25" s="55">
        <v>1.5</v>
      </c>
      <c r="Z25" s="56">
        <v>2.0000000000582077</v>
      </c>
      <c r="AA25" s="56">
        <v>1.5833333334303461</v>
      </c>
      <c r="AB25" s="55">
        <v>6.4166666666278616</v>
      </c>
      <c r="AC25" s="55">
        <v>0</v>
      </c>
      <c r="AD25" s="55">
        <v>1.0000000001164153</v>
      </c>
      <c r="AE25" s="55">
        <v>0</v>
      </c>
      <c r="AF25" s="55">
        <v>0.99999999994179234</v>
      </c>
      <c r="AG25" s="56">
        <v>2.066666666592937</v>
      </c>
      <c r="AH25" s="55">
        <v>0.75</v>
      </c>
      <c r="AI25" s="55">
        <v>1.3333333333139308</v>
      </c>
      <c r="AJ25" s="55">
        <v>1.5</v>
      </c>
      <c r="AK25" s="56">
        <v>3.0833333334303461</v>
      </c>
      <c r="AL25" s="55">
        <v>0.6666666665696539</v>
      </c>
      <c r="AM25" s="56">
        <v>1.6666666666860692</v>
      </c>
      <c r="AN25" s="56">
        <v>1.0000000001164153</v>
      </c>
      <c r="AO25" s="55">
        <v>0.99999999994179234</v>
      </c>
      <c r="AP25" s="55">
        <v>1.0833333333721384</v>
      </c>
      <c r="AQ25" s="57"/>
      <c r="AR25" s="58">
        <v>1</v>
      </c>
      <c r="AS25" s="59">
        <v>51.98333333368646</v>
      </c>
      <c r="AT25" s="59">
        <v>-179</v>
      </c>
      <c r="AU25" s="59">
        <v>-3.7541899441340782</v>
      </c>
      <c r="AV25" s="65" t="s">
        <v>778</v>
      </c>
    </row>
    <row r="26" spans="1:48" hidden="1" x14ac:dyDescent="0.3">
      <c r="A26" s="64"/>
      <c r="B26" s="64">
        <v>193</v>
      </c>
      <c r="C26" s="54">
        <v>599</v>
      </c>
      <c r="D26" s="55">
        <v>0.49999999988358468</v>
      </c>
      <c r="E26" s="55">
        <v>1.6666666666860692</v>
      </c>
      <c r="F26" s="55">
        <v>0.41666666662786156</v>
      </c>
      <c r="G26" s="55">
        <v>1.0000000001164153</v>
      </c>
      <c r="H26" s="56">
        <v>2.5000000001164153</v>
      </c>
      <c r="I26" s="55">
        <v>1.5833333334303461</v>
      </c>
      <c r="J26" s="56">
        <v>60.56666666676756</v>
      </c>
      <c r="K26" s="56">
        <v>22.716666666674428</v>
      </c>
      <c r="L26" s="55">
        <v>4.6833333332324401</v>
      </c>
      <c r="M26" s="55">
        <v>4.6833333332324401</v>
      </c>
      <c r="N26" s="55">
        <v>4.8333333333721384</v>
      </c>
      <c r="O26" s="55">
        <v>0.83333333325572312</v>
      </c>
      <c r="P26" s="56">
        <v>4.0000000001164153</v>
      </c>
      <c r="Q26" s="55">
        <v>0.8333333334303461</v>
      </c>
      <c r="R26" s="55">
        <v>1.5</v>
      </c>
      <c r="S26" s="55">
        <v>0.83333333325572312</v>
      </c>
      <c r="T26" s="55">
        <v>1.7499999999417923</v>
      </c>
      <c r="U26" s="56">
        <v>9.4166666666278616</v>
      </c>
      <c r="V26" s="56">
        <v>5.9500000000116415</v>
      </c>
      <c r="W26" s="55">
        <v>3.2500000001164153</v>
      </c>
      <c r="X26" s="56">
        <v>9.0333333332673647</v>
      </c>
      <c r="Y26" s="55">
        <v>1.5666666667093523</v>
      </c>
      <c r="Z26" s="55">
        <v>1.2333333333372138</v>
      </c>
      <c r="AA26" s="55">
        <v>0.66666666674427688</v>
      </c>
      <c r="AB26" s="55">
        <v>6.1666666666860692</v>
      </c>
      <c r="AC26" s="55">
        <v>0</v>
      </c>
      <c r="AD26" s="55">
        <v>1.9999999998835847</v>
      </c>
      <c r="AE26" s="56">
        <v>8.0000000000582077</v>
      </c>
      <c r="AF26" s="55">
        <v>0.91666666668606922</v>
      </c>
      <c r="AG26" s="55">
        <v>0.99999999994179234</v>
      </c>
      <c r="AH26" s="55">
        <v>0</v>
      </c>
      <c r="AI26" s="55">
        <v>1.4166666667442769</v>
      </c>
      <c r="AJ26" s="55">
        <v>1.9333333333488554</v>
      </c>
      <c r="AK26" s="55">
        <v>-0.41666666662786156</v>
      </c>
      <c r="AL26" s="55">
        <v>0.63333333330228925</v>
      </c>
      <c r="AM26" s="55">
        <v>0.8333333334303461</v>
      </c>
      <c r="AN26" s="55">
        <v>0.99999999994179234</v>
      </c>
      <c r="AO26" s="56">
        <v>1.5</v>
      </c>
      <c r="AP26" s="55">
        <v>0.6000000000349246</v>
      </c>
      <c r="AQ26" s="57"/>
      <c r="AR26" s="58">
        <v>1</v>
      </c>
      <c r="AS26" s="59">
        <v>90.683333333639894</v>
      </c>
      <c r="AT26" s="59">
        <v>-161.19999999999999</v>
      </c>
      <c r="AU26" s="59">
        <v>-4.1687344913151367</v>
      </c>
      <c r="AV26" s="65"/>
    </row>
    <row r="27" spans="1:48" hidden="1" x14ac:dyDescent="0.3">
      <c r="A27" s="64"/>
      <c r="B27" s="64">
        <v>193</v>
      </c>
      <c r="C27" s="54">
        <v>601</v>
      </c>
      <c r="D27" s="55">
        <v>0.41666666662786156</v>
      </c>
      <c r="E27" s="55">
        <v>0.99999999994179234</v>
      </c>
      <c r="F27" s="55">
        <v>0.58333333331393078</v>
      </c>
      <c r="G27" s="55">
        <v>1.5</v>
      </c>
      <c r="H27" s="55">
        <v>1.8333333331975155</v>
      </c>
      <c r="I27" s="55">
        <v>1.7499999999417923</v>
      </c>
      <c r="J27" s="56">
        <v>60.18333333323244</v>
      </c>
      <c r="K27" s="56">
        <v>16.749999999941792</v>
      </c>
      <c r="L27" s="56">
        <v>5.5499999999301508</v>
      </c>
      <c r="M27" s="56">
        <v>5.2833333332673647</v>
      </c>
      <c r="N27" s="55">
        <v>5.4666666666744277</v>
      </c>
      <c r="O27" s="55">
        <v>0.8333333334303461</v>
      </c>
      <c r="P27" s="55">
        <v>1.0833333333721384</v>
      </c>
      <c r="Q27" s="55">
        <v>0.99999999994179234</v>
      </c>
      <c r="R27" s="55">
        <v>1.3833333334769122</v>
      </c>
      <c r="S27" s="55">
        <v>0.83333333325572312</v>
      </c>
      <c r="T27" s="55">
        <v>0.8333333334303461</v>
      </c>
      <c r="U27" s="55">
        <v>0</v>
      </c>
      <c r="V27" s="56">
        <v>11.299999999988358</v>
      </c>
      <c r="W27" s="56">
        <v>4.6666666666860692</v>
      </c>
      <c r="X27" s="55">
        <v>0.99999999994179234</v>
      </c>
      <c r="Y27" s="55">
        <v>0.56666666659293696</v>
      </c>
      <c r="Z27" s="55">
        <v>0</v>
      </c>
      <c r="AA27" s="55">
        <v>0.66666666674427688</v>
      </c>
      <c r="AB27" s="55">
        <v>5.5000000001164153</v>
      </c>
      <c r="AC27" s="56">
        <v>4.8333333331975155</v>
      </c>
      <c r="AD27" s="55">
        <v>1.6666666666860692</v>
      </c>
      <c r="AE27" s="55">
        <v>0</v>
      </c>
      <c r="AF27" s="55">
        <v>0.91666666668606922</v>
      </c>
      <c r="AG27" s="55">
        <v>0.99999999994179234</v>
      </c>
      <c r="AH27" s="56">
        <v>22.666666666686069</v>
      </c>
      <c r="AI27" s="55">
        <v>0.75</v>
      </c>
      <c r="AJ27" s="55">
        <v>2.4166666666860692</v>
      </c>
      <c r="AK27" s="56">
        <v>3.4999999998835847</v>
      </c>
      <c r="AL27" s="55">
        <v>0.75</v>
      </c>
      <c r="AM27" s="56">
        <v>1.0000000001164153</v>
      </c>
      <c r="AN27" s="56">
        <v>1.0000000001164153</v>
      </c>
      <c r="AO27" s="55">
        <v>0.6000000000349246</v>
      </c>
      <c r="AP27" s="55">
        <v>0.75</v>
      </c>
      <c r="AQ27" s="57"/>
      <c r="AR27" s="58">
        <v>1</v>
      </c>
      <c r="AS27" s="59">
        <v>98.733333333046176</v>
      </c>
      <c r="AT27" s="59">
        <v>-129.75</v>
      </c>
      <c r="AU27" s="59">
        <v>-5.1791907514450868</v>
      </c>
      <c r="AV27" s="65" t="s">
        <v>779</v>
      </c>
    </row>
    <row r="28" spans="1:48" x14ac:dyDescent="0.3">
      <c r="A28" s="64"/>
      <c r="B28" s="64">
        <v>194</v>
      </c>
      <c r="C28" s="54">
        <v>600</v>
      </c>
      <c r="D28" s="55">
        <v>0.50000000005820766</v>
      </c>
      <c r="E28" s="55">
        <v>0.91666666668606922</v>
      </c>
      <c r="F28" s="55">
        <v>0.58333333331393078</v>
      </c>
      <c r="G28" s="56">
        <v>3.5000000000582077</v>
      </c>
      <c r="H28" s="56">
        <v>2.7500000000582077</v>
      </c>
      <c r="I28" s="55">
        <v>1.5</v>
      </c>
      <c r="J28" s="56">
        <v>8.6999999998952262</v>
      </c>
      <c r="K28" s="60"/>
      <c r="L28" s="60"/>
      <c r="M28" s="60"/>
      <c r="N28" s="55">
        <v>2.4999999999417923</v>
      </c>
      <c r="O28" s="55">
        <v>0.50000000005820766</v>
      </c>
      <c r="P28" s="60"/>
      <c r="Q28" s="55">
        <v>1.5</v>
      </c>
      <c r="R28" s="55">
        <v>1.1666666666278616</v>
      </c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57"/>
      <c r="AR28" s="61">
        <v>0.28205128205128205</v>
      </c>
      <c r="AS28" s="59">
        <v>5.9500000000116415</v>
      </c>
      <c r="AT28" s="59">
        <v>604.56666666666672</v>
      </c>
      <c r="AU28" s="59">
        <v>1.1115399459668081</v>
      </c>
      <c r="AV28" s="65"/>
    </row>
    <row r="29" spans="1:48" hidden="1" x14ac:dyDescent="0.3">
      <c r="A29" s="64"/>
      <c r="B29" s="64">
        <v>194</v>
      </c>
      <c r="C29" s="54">
        <v>602</v>
      </c>
      <c r="D29" s="55">
        <v>0.50000000005820766</v>
      </c>
      <c r="E29" s="55">
        <v>0.91666666668606922</v>
      </c>
      <c r="F29" s="55">
        <v>0.58333333331393078</v>
      </c>
      <c r="G29" s="55">
        <v>1.8333333333721384</v>
      </c>
      <c r="H29" s="56">
        <v>2.1666666665696539</v>
      </c>
      <c r="I29" s="55">
        <v>1.5833333332557231</v>
      </c>
      <c r="J29" s="56">
        <v>30.416666666627862</v>
      </c>
      <c r="K29" s="55">
        <v>4.5</v>
      </c>
      <c r="L29" s="56">
        <v>9.3333333333721384</v>
      </c>
      <c r="M29" s="56">
        <v>9.3333333333721384</v>
      </c>
      <c r="N29" s="55">
        <v>4.6499999999650754</v>
      </c>
      <c r="O29" s="55">
        <v>0.88333333341870457</v>
      </c>
      <c r="P29" s="55">
        <v>0.75</v>
      </c>
      <c r="Q29" s="55">
        <v>0.25000000011641532</v>
      </c>
      <c r="R29" s="56">
        <v>2.25</v>
      </c>
      <c r="S29" s="55">
        <v>0.8333333334303461</v>
      </c>
      <c r="T29" s="55">
        <v>2.2333333332790062</v>
      </c>
      <c r="U29" s="56">
        <v>7.2500000000582077</v>
      </c>
      <c r="V29" s="56">
        <v>22.5</v>
      </c>
      <c r="W29" s="56">
        <v>4.1666666666278616</v>
      </c>
      <c r="X29" s="56">
        <v>21</v>
      </c>
      <c r="Y29" s="55">
        <v>1.7666666666627862</v>
      </c>
      <c r="Z29" s="55">
        <v>0</v>
      </c>
      <c r="AA29" s="55">
        <v>-23.000000000058208</v>
      </c>
      <c r="AB29" s="55">
        <v>5.6666666666278616</v>
      </c>
      <c r="AC29" s="55">
        <v>0</v>
      </c>
      <c r="AD29" s="55">
        <v>1.3333333333139308</v>
      </c>
      <c r="AE29" s="55">
        <v>1.9999999998835847</v>
      </c>
      <c r="AF29" s="55">
        <v>0.91666666668606922</v>
      </c>
      <c r="AG29" s="55">
        <v>0.6666666665696539</v>
      </c>
      <c r="AH29" s="55">
        <v>0.58333333331393078</v>
      </c>
      <c r="AI29" s="55">
        <v>0.99999999994179234</v>
      </c>
      <c r="AJ29" s="55">
        <v>2.3333333334303461</v>
      </c>
      <c r="AK29" s="56">
        <v>4.5</v>
      </c>
      <c r="AL29" s="55">
        <v>0</v>
      </c>
      <c r="AM29" s="55">
        <v>0.91666666668606922</v>
      </c>
      <c r="AN29" s="56">
        <v>1417.0000000001164</v>
      </c>
      <c r="AO29" s="56">
        <v>1.5</v>
      </c>
      <c r="AP29" s="55">
        <v>0.50000000005820766</v>
      </c>
      <c r="AQ29" s="57"/>
      <c r="AR29" s="58">
        <v>1</v>
      </c>
      <c r="AS29" s="59">
        <v>1489.4166666667443</v>
      </c>
      <c r="AT29" s="59">
        <v>-106.5</v>
      </c>
      <c r="AU29" s="59">
        <v>-6.3098591549295771</v>
      </c>
      <c r="AV29" s="65" t="s">
        <v>780</v>
      </c>
    </row>
    <row r="30" spans="1:48" hidden="1" x14ac:dyDescent="0.3">
      <c r="A30" s="64"/>
      <c r="B30" s="64">
        <v>194</v>
      </c>
      <c r="C30" s="54">
        <v>603</v>
      </c>
      <c r="D30" s="55">
        <v>0.61666666675591841</v>
      </c>
      <c r="E30" s="55">
        <v>0.91666666651144624</v>
      </c>
      <c r="F30" s="55">
        <v>0.41666666662786156</v>
      </c>
      <c r="G30" s="55">
        <v>1.8000000001047738</v>
      </c>
      <c r="H30" s="56">
        <v>2.5833333331975155</v>
      </c>
      <c r="I30" s="56">
        <v>2.1666666667442769</v>
      </c>
      <c r="J30" s="56">
        <v>47.150000000023283</v>
      </c>
      <c r="K30" s="55">
        <v>-723.41666666662786</v>
      </c>
      <c r="L30" s="55">
        <v>4.8499999999185093</v>
      </c>
      <c r="M30" s="56">
        <v>17.333333333255723</v>
      </c>
      <c r="N30" s="55">
        <v>0</v>
      </c>
      <c r="O30" s="55">
        <v>0.50000000005820766</v>
      </c>
      <c r="P30" s="55">
        <v>3.5000000000582077</v>
      </c>
      <c r="Q30" s="56">
        <v>2.3833333334187046</v>
      </c>
      <c r="R30" s="55">
        <v>0.66666666674427688</v>
      </c>
      <c r="S30" s="55">
        <v>0.50000000005820766</v>
      </c>
      <c r="T30" s="55">
        <v>3</v>
      </c>
      <c r="U30" s="55">
        <v>4.6666666666860692</v>
      </c>
      <c r="V30" s="56">
        <v>45.999999999941792</v>
      </c>
      <c r="W30" s="56">
        <v>19.5</v>
      </c>
      <c r="X30" s="56">
        <v>46.999999999883585</v>
      </c>
      <c r="Y30" s="55">
        <v>1.5666666667093523</v>
      </c>
      <c r="Z30" s="55">
        <v>1.7166666666744277</v>
      </c>
      <c r="AA30" s="55">
        <v>0.50000000005820766</v>
      </c>
      <c r="AB30" s="55">
        <v>0</v>
      </c>
      <c r="AC30" s="55">
        <v>0</v>
      </c>
      <c r="AD30" s="55">
        <v>0</v>
      </c>
      <c r="AE30" s="55">
        <v>0</v>
      </c>
      <c r="AF30" s="55">
        <v>0.99999999994179234</v>
      </c>
      <c r="AG30" s="55">
        <v>0.99999999994179234</v>
      </c>
      <c r="AH30" s="56">
        <v>1.0833333331975155</v>
      </c>
      <c r="AI30" s="55">
        <v>1.5833333332557231</v>
      </c>
      <c r="AJ30" s="55">
        <v>1.6666666666860692</v>
      </c>
      <c r="AK30" s="55">
        <v>3</v>
      </c>
      <c r="AL30" s="55">
        <v>0.93333333340706304</v>
      </c>
      <c r="AM30" s="55">
        <v>0</v>
      </c>
      <c r="AN30" s="56">
        <v>1.0000000001164153</v>
      </c>
      <c r="AO30" s="56">
        <v>1.0833333331975155</v>
      </c>
      <c r="AP30" s="55">
        <v>0.99999999994179234</v>
      </c>
      <c r="AQ30" s="57"/>
      <c r="AR30" s="58">
        <v>1</v>
      </c>
      <c r="AS30" s="59">
        <v>156.28333333297633</v>
      </c>
      <c r="AT30" s="59">
        <v>-193.5</v>
      </c>
      <c r="AU30" s="59">
        <v>-3.472868217054264</v>
      </c>
      <c r="AV30" s="65"/>
    </row>
    <row r="31" spans="1:48" hidden="1" x14ac:dyDescent="0.3">
      <c r="A31" s="64"/>
      <c r="B31" s="64">
        <v>195</v>
      </c>
      <c r="C31" s="54">
        <v>604</v>
      </c>
      <c r="D31" s="55">
        <v>0.58333333331393078</v>
      </c>
      <c r="E31" s="55">
        <v>0.99999999994179234</v>
      </c>
      <c r="F31" s="55">
        <v>-2087.4166666666861</v>
      </c>
      <c r="G31" s="55">
        <v>1.7499999999417923</v>
      </c>
      <c r="H31" s="56">
        <v>2.4166666666860692</v>
      </c>
      <c r="I31" s="55">
        <v>1.4166666665696539</v>
      </c>
      <c r="J31" s="55">
        <v>-13.250000000058208</v>
      </c>
      <c r="K31" s="55">
        <v>0.64999999984866008</v>
      </c>
      <c r="L31" s="56">
        <v>6.8333333334303461</v>
      </c>
      <c r="M31" s="56">
        <v>6.8333333334303461</v>
      </c>
      <c r="N31" s="55">
        <v>1.9500000000698492</v>
      </c>
      <c r="O31" s="55">
        <v>0.83333333325572312</v>
      </c>
      <c r="P31" s="55">
        <v>1.78333333338378</v>
      </c>
      <c r="Q31" s="55">
        <v>0.83333333325572312</v>
      </c>
      <c r="R31" s="55">
        <v>1.3833333334769122</v>
      </c>
      <c r="S31" s="55">
        <v>0.63333333330228925</v>
      </c>
      <c r="T31" s="55">
        <v>2.7833333333255723</v>
      </c>
      <c r="U31" s="55">
        <v>5.433333333407063</v>
      </c>
      <c r="V31" s="55">
        <v>3.3333333333721384</v>
      </c>
      <c r="W31" s="56">
        <v>90.366666666639503</v>
      </c>
      <c r="X31" s="56">
        <v>99.250000000116415</v>
      </c>
      <c r="Y31" s="55">
        <v>0</v>
      </c>
      <c r="Z31" s="55">
        <v>1.0000000001164153</v>
      </c>
      <c r="AA31" s="55">
        <v>0</v>
      </c>
      <c r="AB31" s="55">
        <v>6.9833333333954215</v>
      </c>
      <c r="AC31" s="55">
        <v>0</v>
      </c>
      <c r="AD31" s="56">
        <v>23.833333333313931</v>
      </c>
      <c r="AE31" s="55">
        <v>0</v>
      </c>
      <c r="AF31" s="55">
        <v>0.91666666668606922</v>
      </c>
      <c r="AG31" s="55">
        <v>0</v>
      </c>
      <c r="AH31" s="55">
        <v>0.8333333334303461</v>
      </c>
      <c r="AI31" s="55">
        <v>0</v>
      </c>
      <c r="AJ31" s="55">
        <v>1.5833333334303461</v>
      </c>
      <c r="AK31" s="55">
        <v>0</v>
      </c>
      <c r="AL31" s="55">
        <v>0</v>
      </c>
      <c r="AM31" s="55">
        <v>0</v>
      </c>
      <c r="AN31" s="55">
        <v>0.99999999994179234</v>
      </c>
      <c r="AO31" s="55">
        <v>0.99999999994179234</v>
      </c>
      <c r="AP31" s="55">
        <v>0</v>
      </c>
      <c r="AQ31" s="57"/>
      <c r="AR31" s="58">
        <v>1</v>
      </c>
      <c r="AS31" s="59">
        <v>207.53333333361661</v>
      </c>
      <c r="AT31" s="59">
        <v>-306.28333333333336</v>
      </c>
      <c r="AU31" s="59">
        <v>-2.1940469064591608</v>
      </c>
      <c r="AV31" s="65"/>
    </row>
    <row r="32" spans="1:48" hidden="1" x14ac:dyDescent="0.3">
      <c r="A32" s="64"/>
      <c r="B32" s="64">
        <v>195</v>
      </c>
      <c r="C32" s="54">
        <v>605</v>
      </c>
      <c r="D32" s="55">
        <v>0.49999999988358468</v>
      </c>
      <c r="E32" s="55">
        <v>1.0833333333721384</v>
      </c>
      <c r="F32" s="55">
        <v>0.58333333331393078</v>
      </c>
      <c r="G32" s="55">
        <v>1.7499999999417923</v>
      </c>
      <c r="H32" s="55">
        <v>1.9999999998835847</v>
      </c>
      <c r="I32" s="55">
        <v>1.9999999998835847</v>
      </c>
      <c r="J32" s="56">
        <v>9.5833333333139308</v>
      </c>
      <c r="K32" s="55">
        <v>4.5</v>
      </c>
      <c r="L32" s="55">
        <v>2.0000000000582077</v>
      </c>
      <c r="M32" s="55">
        <v>2.0000000000582077</v>
      </c>
      <c r="N32" s="55">
        <v>5.3333333332557231</v>
      </c>
      <c r="O32" s="55">
        <v>-23.166666666744277</v>
      </c>
      <c r="P32" s="55">
        <v>2.3999999999650754</v>
      </c>
      <c r="Q32" s="55">
        <v>1.0833333333721384</v>
      </c>
      <c r="R32" s="55">
        <v>1.1666666668024845</v>
      </c>
      <c r="S32" s="55">
        <v>0.83333333325572312</v>
      </c>
      <c r="T32" s="55">
        <v>2.7499999998835847</v>
      </c>
      <c r="U32" s="55">
        <v>0.24999999994179234</v>
      </c>
      <c r="V32" s="56">
        <v>71.333333333255723</v>
      </c>
      <c r="W32" s="55">
        <v>3.5833333333139308</v>
      </c>
      <c r="X32" s="56">
        <v>67.883333333360497</v>
      </c>
      <c r="Y32" s="55">
        <v>1.5</v>
      </c>
      <c r="Z32" s="55">
        <v>0</v>
      </c>
      <c r="AA32" s="55">
        <v>0</v>
      </c>
      <c r="AB32" s="56">
        <v>7.0000000001164153</v>
      </c>
      <c r="AC32" s="55">
        <v>3.5166666667792015</v>
      </c>
      <c r="AD32" s="56">
        <v>5.5000000001164153</v>
      </c>
      <c r="AE32" s="55">
        <v>0</v>
      </c>
      <c r="AF32" s="55">
        <v>0.75</v>
      </c>
      <c r="AG32" s="55">
        <v>0.99999999994179234</v>
      </c>
      <c r="AH32" s="56">
        <v>1.0000000001164153</v>
      </c>
      <c r="AI32" s="55">
        <v>1.5</v>
      </c>
      <c r="AJ32" s="55">
        <v>1.8333333333721384</v>
      </c>
      <c r="AK32" s="55">
        <v>3</v>
      </c>
      <c r="AL32" s="55">
        <v>0.34999999991850927</v>
      </c>
      <c r="AM32" s="55">
        <v>0</v>
      </c>
      <c r="AN32" s="55">
        <v>0</v>
      </c>
      <c r="AO32" s="56">
        <v>1.9999999998835847</v>
      </c>
      <c r="AP32" s="55">
        <v>0.33333333337213844</v>
      </c>
      <c r="AQ32" s="57"/>
      <c r="AR32" s="58">
        <v>1</v>
      </c>
      <c r="AS32" s="59">
        <v>140.30000000016298</v>
      </c>
      <c r="AT32" s="59">
        <v>-132.76666666666668</v>
      </c>
      <c r="AU32" s="59">
        <v>-5.0615114235500878</v>
      </c>
      <c r="AV32" s="65"/>
    </row>
    <row r="33" spans="1:48" hidden="1" x14ac:dyDescent="0.3">
      <c r="A33" s="64"/>
      <c r="B33" s="64">
        <v>195</v>
      </c>
      <c r="C33" s="54">
        <v>607</v>
      </c>
      <c r="D33" s="55">
        <v>0.50000000005820766</v>
      </c>
      <c r="E33" s="55">
        <v>1.03333333338378</v>
      </c>
      <c r="F33" s="55">
        <v>0.58333333331393078</v>
      </c>
      <c r="G33" s="56">
        <v>2.1666666667442769</v>
      </c>
      <c r="H33" s="56">
        <v>3.6666666667442769</v>
      </c>
      <c r="I33" s="55">
        <v>1.4166666665696539</v>
      </c>
      <c r="J33" s="56">
        <v>6.5000000000582077</v>
      </c>
      <c r="K33" s="56">
        <v>49.799999999930151</v>
      </c>
      <c r="L33" s="55">
        <v>0</v>
      </c>
      <c r="M33" s="55">
        <v>0</v>
      </c>
      <c r="N33" s="55">
        <v>4.6666666666860692</v>
      </c>
      <c r="O33" s="55">
        <v>0.66666666674427688</v>
      </c>
      <c r="P33" s="55">
        <v>2.6666666666278616</v>
      </c>
      <c r="Q33" s="55">
        <v>0.83333333325572312</v>
      </c>
      <c r="R33" s="55">
        <v>1.1666666666278616</v>
      </c>
      <c r="S33" s="55">
        <v>0.93333333340706304</v>
      </c>
      <c r="T33" s="55">
        <v>1.9333333333488554</v>
      </c>
      <c r="U33" s="55">
        <v>3.75</v>
      </c>
      <c r="V33" s="55">
        <v>0</v>
      </c>
      <c r="W33" s="55">
        <v>0</v>
      </c>
      <c r="X33" s="55">
        <v>3.9333333332324401</v>
      </c>
      <c r="Y33" s="55">
        <v>0</v>
      </c>
      <c r="Z33" s="55">
        <v>1.3833333333022892</v>
      </c>
      <c r="AA33" s="55">
        <v>0.75</v>
      </c>
      <c r="AB33" s="55">
        <v>0</v>
      </c>
      <c r="AC33" s="55">
        <v>0</v>
      </c>
      <c r="AD33" s="55">
        <v>0</v>
      </c>
      <c r="AE33" s="55">
        <v>0</v>
      </c>
      <c r="AF33" s="55">
        <v>-0.33333333337213844</v>
      </c>
      <c r="AG33" s="55">
        <v>0</v>
      </c>
      <c r="AH33" s="55">
        <v>0.66666666674427688</v>
      </c>
      <c r="AI33" s="55">
        <v>1.5833333332557231</v>
      </c>
      <c r="AJ33" s="55">
        <v>1.6666666666860692</v>
      </c>
      <c r="AK33" s="55">
        <v>3</v>
      </c>
      <c r="AL33" s="55">
        <v>0.91666666668606922</v>
      </c>
      <c r="AM33" s="55">
        <v>0</v>
      </c>
      <c r="AN33" s="55">
        <v>0.99999999994179234</v>
      </c>
      <c r="AO33" s="55">
        <v>0</v>
      </c>
      <c r="AP33" s="55">
        <v>0</v>
      </c>
      <c r="AQ33" s="57"/>
      <c r="AR33" s="58">
        <v>1</v>
      </c>
      <c r="AS33" s="59">
        <v>48.133333333476912</v>
      </c>
      <c r="AT33" s="59">
        <v>-199.66666666666666</v>
      </c>
      <c r="AU33" s="59">
        <v>-3.3656093489148584</v>
      </c>
      <c r="AV33" s="65"/>
    </row>
    <row r="34" spans="1:48" hidden="1" x14ac:dyDescent="0.3">
      <c r="A34" s="64"/>
      <c r="B34" s="64">
        <v>196</v>
      </c>
      <c r="C34" s="54">
        <v>606</v>
      </c>
      <c r="D34" s="55">
        <v>0.41666666680248454</v>
      </c>
      <c r="E34" s="55">
        <v>0.91666666668606922</v>
      </c>
      <c r="F34" s="55">
        <v>0.6666666665696539</v>
      </c>
      <c r="G34" s="55">
        <v>1.8333333333721384</v>
      </c>
      <c r="H34" s="56">
        <v>2.4166666666860692</v>
      </c>
      <c r="I34" s="55">
        <v>1.6666666666860692</v>
      </c>
      <c r="J34" s="55">
        <v>4.0666666666511446</v>
      </c>
      <c r="K34" s="55">
        <v>4.5666666665347293</v>
      </c>
      <c r="L34" s="56">
        <v>6.6000000000349246</v>
      </c>
      <c r="M34" s="56">
        <v>6.5166666666045785</v>
      </c>
      <c r="N34" s="55">
        <v>4.0999999999185093</v>
      </c>
      <c r="O34" s="55">
        <v>0.49999999988358468</v>
      </c>
      <c r="P34" s="55">
        <v>0</v>
      </c>
      <c r="Q34" s="55">
        <v>1.2499999998835847</v>
      </c>
      <c r="R34" s="55">
        <v>1.2499999998835847</v>
      </c>
      <c r="S34" s="55">
        <v>0.93333333340706304</v>
      </c>
      <c r="T34" s="56">
        <v>11.416666666686069</v>
      </c>
      <c r="U34" s="55">
        <v>0</v>
      </c>
      <c r="V34" s="55">
        <v>-25.5</v>
      </c>
      <c r="W34" s="55">
        <v>3</v>
      </c>
      <c r="X34" s="56">
        <v>25.749999999941792</v>
      </c>
      <c r="Y34" s="56">
        <v>24.416666666627862</v>
      </c>
      <c r="Z34" s="55">
        <v>0</v>
      </c>
      <c r="AA34" s="55">
        <v>0.50000000005820766</v>
      </c>
      <c r="AB34" s="55">
        <v>6.9999999999417923</v>
      </c>
      <c r="AC34" s="56">
        <v>4.6666666666860692</v>
      </c>
      <c r="AD34" s="56">
        <v>2.0000000000582077</v>
      </c>
      <c r="AE34" s="55">
        <v>1.9500000000698492</v>
      </c>
      <c r="AF34" s="56">
        <v>1.5</v>
      </c>
      <c r="AG34" s="55">
        <v>0.99999999994179234</v>
      </c>
      <c r="AH34" s="55">
        <v>0.75</v>
      </c>
      <c r="AI34" s="55">
        <v>1.5833333334303461</v>
      </c>
      <c r="AJ34" s="56">
        <v>18</v>
      </c>
      <c r="AK34" s="56">
        <v>3.9999999999417923</v>
      </c>
      <c r="AL34" s="55">
        <v>0.33333333337213844</v>
      </c>
      <c r="AM34" s="55">
        <v>0.83333333325572312</v>
      </c>
      <c r="AN34" s="55">
        <v>0.99999999994179234</v>
      </c>
      <c r="AO34" s="56">
        <v>1.9999999998835847</v>
      </c>
      <c r="AP34" s="55">
        <v>1.4166666665696539</v>
      </c>
      <c r="AQ34" s="57"/>
      <c r="AR34" s="58">
        <v>1</v>
      </c>
      <c r="AS34" s="59">
        <v>74.283333333150949</v>
      </c>
      <c r="AT34" s="59">
        <v>-174.5</v>
      </c>
      <c r="AU34" s="59">
        <v>-3.8510028653295127</v>
      </c>
      <c r="AV34" s="65"/>
    </row>
    <row r="35" spans="1:48" hidden="1" x14ac:dyDescent="0.3">
      <c r="A35" s="64"/>
      <c r="B35" s="64">
        <v>196</v>
      </c>
      <c r="C35" s="54">
        <v>608</v>
      </c>
      <c r="D35" s="55">
        <v>0</v>
      </c>
      <c r="E35" s="55">
        <v>0.8333333334303461</v>
      </c>
      <c r="F35" s="55">
        <v>0</v>
      </c>
      <c r="G35" s="55">
        <v>1.9166666666278616</v>
      </c>
      <c r="H35" s="56">
        <v>2.4499999999534339</v>
      </c>
      <c r="I35" s="55">
        <v>1.9166666666278616</v>
      </c>
      <c r="J35" s="56">
        <v>29.100000000034925</v>
      </c>
      <c r="K35" s="56">
        <v>40.200000000069849</v>
      </c>
      <c r="L35" s="55">
        <v>4.3333333333139308</v>
      </c>
      <c r="M35" s="55">
        <v>4.3333333333139308</v>
      </c>
      <c r="N35" s="55">
        <v>0</v>
      </c>
      <c r="O35" s="55">
        <v>0.70000000001164153</v>
      </c>
      <c r="P35" s="55">
        <v>1.9499999998952262</v>
      </c>
      <c r="Q35" s="55">
        <v>0</v>
      </c>
      <c r="R35" s="55">
        <v>1.3333333333139308</v>
      </c>
      <c r="S35" s="55">
        <v>0.58333333331393078</v>
      </c>
      <c r="T35" s="56">
        <v>3.6333333333022892</v>
      </c>
      <c r="U35" s="55">
        <v>1.7499999999417923</v>
      </c>
      <c r="V35" s="55">
        <v>3.5000000000582077</v>
      </c>
      <c r="W35" s="55">
        <v>0</v>
      </c>
      <c r="X35" s="55">
        <v>3.9333333332324401</v>
      </c>
      <c r="Y35" s="55">
        <v>0</v>
      </c>
      <c r="Z35" s="56">
        <v>2.0000000000582077</v>
      </c>
      <c r="AA35" s="55">
        <v>0.93333333340706304</v>
      </c>
      <c r="AB35" s="55">
        <v>6.3333333333721384</v>
      </c>
      <c r="AC35" s="56">
        <v>4.5</v>
      </c>
      <c r="AD35" s="55">
        <v>0</v>
      </c>
      <c r="AE35" s="55">
        <v>0</v>
      </c>
      <c r="AF35" s="56">
        <v>1.0833333331975155</v>
      </c>
      <c r="AG35" s="55">
        <v>0.99999999994179234</v>
      </c>
      <c r="AH35" s="55">
        <v>0.75</v>
      </c>
      <c r="AI35" s="55">
        <v>1.5</v>
      </c>
      <c r="AJ35" s="55">
        <v>6.6666666709352285E-2</v>
      </c>
      <c r="AK35" s="55">
        <v>0</v>
      </c>
      <c r="AL35" s="55">
        <v>0.45000000006984919</v>
      </c>
      <c r="AM35" s="55">
        <v>0</v>
      </c>
      <c r="AN35" s="55">
        <v>0</v>
      </c>
      <c r="AO35" s="56">
        <v>1.1666666668024845</v>
      </c>
      <c r="AP35" s="55">
        <v>0.66666666674427688</v>
      </c>
      <c r="AQ35" s="57"/>
      <c r="AR35" s="58">
        <v>1</v>
      </c>
      <c r="AS35" s="59">
        <v>61.133333333418705</v>
      </c>
      <c r="AT35" s="59">
        <v>-145.16666666666666</v>
      </c>
      <c r="AU35" s="59">
        <v>-4.6291618828932259</v>
      </c>
      <c r="AV35" s="65"/>
    </row>
    <row r="36" spans="1:48" x14ac:dyDescent="0.3">
      <c r="A36" s="64"/>
      <c r="B36" s="64">
        <v>196</v>
      </c>
      <c r="C36" s="54">
        <v>610</v>
      </c>
      <c r="D36" s="55">
        <v>1.5</v>
      </c>
      <c r="E36" s="55">
        <v>1.1666666666278616</v>
      </c>
      <c r="F36" s="55">
        <v>0.58333333331393078</v>
      </c>
      <c r="G36" s="55">
        <v>1.8500000000931323</v>
      </c>
      <c r="H36" s="56">
        <v>4.1666666668024845</v>
      </c>
      <c r="I36" s="55">
        <v>1.8333333333721384</v>
      </c>
      <c r="J36" s="55">
        <v>-50.000000000058208</v>
      </c>
      <c r="K36" s="60"/>
      <c r="L36" s="56">
        <v>22.766666666662786</v>
      </c>
      <c r="M36" s="56">
        <v>22.766666666662786</v>
      </c>
      <c r="N36" s="60"/>
      <c r="O36" s="60"/>
      <c r="P36" s="60"/>
      <c r="Q36" s="55">
        <v>1.5</v>
      </c>
      <c r="R36" s="55">
        <v>1.4166666665696539</v>
      </c>
      <c r="S36" s="55">
        <v>0.75</v>
      </c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60"/>
      <c r="AE36" s="60"/>
      <c r="AF36" s="60"/>
      <c r="AG36" s="60"/>
      <c r="AH36" s="60"/>
      <c r="AI36" s="60"/>
      <c r="AJ36" s="60"/>
      <c r="AK36" s="60"/>
      <c r="AL36" s="60"/>
      <c r="AM36" s="60"/>
      <c r="AN36" s="60"/>
      <c r="AO36" s="60"/>
      <c r="AP36" s="60"/>
      <c r="AQ36" s="57"/>
      <c r="AR36" s="61">
        <v>0.30769230769230771</v>
      </c>
      <c r="AS36" s="59">
        <v>37.700000000128057</v>
      </c>
      <c r="AT36" s="59">
        <v>489.06666666666666</v>
      </c>
      <c r="AU36" s="59">
        <v>1.3740458015267176</v>
      </c>
      <c r="AV36" s="65"/>
    </row>
    <row r="37" spans="1:48" hidden="1" x14ac:dyDescent="0.3">
      <c r="A37" s="64"/>
      <c r="B37" s="64">
        <v>197</v>
      </c>
      <c r="C37" s="54">
        <v>609</v>
      </c>
      <c r="D37" s="55">
        <v>0.49999999988358468</v>
      </c>
      <c r="E37" s="55">
        <v>0.83333333325572312</v>
      </c>
      <c r="F37" s="55">
        <v>0.41666666680248454</v>
      </c>
      <c r="G37" s="55">
        <v>1.6666666666860692</v>
      </c>
      <c r="H37" s="56">
        <v>2.4166666666860692</v>
      </c>
      <c r="I37" s="55">
        <v>1.5</v>
      </c>
      <c r="J37" s="56">
        <v>6.0833333334303461</v>
      </c>
      <c r="K37" s="55">
        <v>-6.0166666667209938</v>
      </c>
      <c r="L37" s="55">
        <v>2.4166666666860692</v>
      </c>
      <c r="M37" s="56">
        <v>74.666666666802485</v>
      </c>
      <c r="N37" s="55">
        <v>3.8333333334303461</v>
      </c>
      <c r="O37" s="55">
        <v>0.98333333322079852</v>
      </c>
      <c r="P37" s="55">
        <v>1.6833333332324401</v>
      </c>
      <c r="Q37" s="55">
        <v>1.0833333331975155</v>
      </c>
      <c r="R37" s="55">
        <v>1.5</v>
      </c>
      <c r="S37" s="55">
        <v>0.75</v>
      </c>
      <c r="T37" s="55">
        <v>2.0000000000582077</v>
      </c>
      <c r="U37" s="55">
        <v>6</v>
      </c>
      <c r="V37" s="55">
        <v>3.5000000000582077</v>
      </c>
      <c r="W37" s="56">
        <v>162.61666666675592</v>
      </c>
      <c r="X37" s="55">
        <v>0.99999999994179234</v>
      </c>
      <c r="Y37" s="55">
        <v>1.4166666665696539</v>
      </c>
      <c r="Z37" s="55">
        <v>1.5</v>
      </c>
      <c r="AA37" s="55">
        <v>0.8333333334303461</v>
      </c>
      <c r="AB37" s="55">
        <v>6.5000000000582077</v>
      </c>
      <c r="AC37" s="55">
        <v>0</v>
      </c>
      <c r="AD37" s="55">
        <v>0</v>
      </c>
      <c r="AE37" s="55">
        <v>0</v>
      </c>
      <c r="AF37" s="56">
        <v>1.5</v>
      </c>
      <c r="AG37" s="56">
        <v>1.2500000000582077</v>
      </c>
      <c r="AH37" s="55">
        <v>0.99999999994179234</v>
      </c>
      <c r="AI37" s="56">
        <v>10.083333333197515</v>
      </c>
      <c r="AJ37" s="56">
        <v>15.250000000116415</v>
      </c>
      <c r="AK37" s="56">
        <v>5.4999999999417923</v>
      </c>
      <c r="AL37" s="55">
        <v>0.75</v>
      </c>
      <c r="AM37" s="55">
        <v>0</v>
      </c>
      <c r="AN37" s="55">
        <v>0.99999999994179234</v>
      </c>
      <c r="AO37" s="55">
        <v>0.99999999994179234</v>
      </c>
      <c r="AP37" s="55">
        <v>1.5833333334303461</v>
      </c>
      <c r="AQ37" s="57"/>
      <c r="AR37" s="58">
        <v>1</v>
      </c>
      <c r="AS37" s="59">
        <v>253.36666666698875</v>
      </c>
      <c r="AT37" s="59">
        <v>-280</v>
      </c>
      <c r="AU37" s="59">
        <v>-2.4</v>
      </c>
      <c r="AV37" s="65"/>
    </row>
    <row r="38" spans="1:48" hidden="1" x14ac:dyDescent="0.3">
      <c r="A38" s="64"/>
      <c r="B38" s="64">
        <v>197</v>
      </c>
      <c r="C38" s="54">
        <v>611</v>
      </c>
      <c r="D38" s="55">
        <v>0.50000000005820766</v>
      </c>
      <c r="E38" s="55">
        <v>0.99999999994179234</v>
      </c>
      <c r="F38" s="55">
        <v>0.58333333331393078</v>
      </c>
      <c r="G38" s="55">
        <v>1.8333333331975155</v>
      </c>
      <c r="H38" s="56">
        <v>2.7499999998835847</v>
      </c>
      <c r="I38" s="56">
        <v>2.6666666666278616</v>
      </c>
      <c r="J38" s="55">
        <v>4.5</v>
      </c>
      <c r="K38" s="55">
        <v>4.4833333332790062</v>
      </c>
      <c r="L38" s="56">
        <v>48.75</v>
      </c>
      <c r="M38" s="56">
        <v>48.75</v>
      </c>
      <c r="N38" s="55">
        <v>3.3333333333721384</v>
      </c>
      <c r="O38" s="55">
        <v>0</v>
      </c>
      <c r="P38" s="55">
        <v>0.66666666674427688</v>
      </c>
      <c r="Q38" s="55">
        <v>1.1666666666278616</v>
      </c>
      <c r="R38" s="55">
        <v>1.5</v>
      </c>
      <c r="S38" s="55">
        <v>0</v>
      </c>
      <c r="T38" s="56">
        <v>15</v>
      </c>
      <c r="U38" s="55">
        <v>3.566666666592937</v>
      </c>
      <c r="V38" s="55">
        <v>3.9999999999417923</v>
      </c>
      <c r="W38" s="56">
        <v>62.499999999941792</v>
      </c>
      <c r="X38" s="55">
        <v>1.9999999998835847</v>
      </c>
      <c r="Y38" s="55">
        <v>0</v>
      </c>
      <c r="Z38" s="56">
        <v>2.0000000000582077</v>
      </c>
      <c r="AA38" s="55">
        <v>0.8333333334303461</v>
      </c>
      <c r="AB38" s="55">
        <v>3.9999999999417923</v>
      </c>
      <c r="AC38" s="55">
        <v>0</v>
      </c>
      <c r="AD38" s="55">
        <v>0</v>
      </c>
      <c r="AE38" s="55">
        <v>0</v>
      </c>
      <c r="AF38" s="55">
        <v>0.91666666668606922</v>
      </c>
      <c r="AG38" s="56">
        <v>1.0833333333721384</v>
      </c>
      <c r="AH38" s="55">
        <v>0</v>
      </c>
      <c r="AI38" s="55">
        <v>1.4166666665696539</v>
      </c>
      <c r="AJ38" s="56">
        <v>18.166666666686069</v>
      </c>
      <c r="AK38" s="56">
        <v>7.4166666667442769</v>
      </c>
      <c r="AL38" s="55">
        <v>0.50000000005820766</v>
      </c>
      <c r="AM38" s="55">
        <v>0.91666666668606922</v>
      </c>
      <c r="AN38" s="55">
        <v>0.99999999994179234</v>
      </c>
      <c r="AO38" s="55">
        <v>0.70000000001164153</v>
      </c>
      <c r="AP38" s="55">
        <v>1.5</v>
      </c>
      <c r="AQ38" s="57"/>
      <c r="AR38" s="58">
        <v>1</v>
      </c>
      <c r="AS38" s="59">
        <v>179.08333333331393</v>
      </c>
      <c r="AT38" s="59">
        <v>-137</v>
      </c>
      <c r="AU38" s="59">
        <v>-4.9051094890510951</v>
      </c>
      <c r="AV38" s="65"/>
    </row>
    <row r="39" spans="1:48" hidden="1" x14ac:dyDescent="0.3">
      <c r="A39" s="64"/>
      <c r="B39" s="64">
        <v>197</v>
      </c>
      <c r="C39" s="54">
        <v>612</v>
      </c>
      <c r="D39" s="55">
        <v>0.49999999988358468</v>
      </c>
      <c r="E39" s="55">
        <v>8.3333333430346102E-2</v>
      </c>
      <c r="F39" s="55">
        <v>0.50000000005820766</v>
      </c>
      <c r="G39" s="55">
        <v>1.8333333333721384</v>
      </c>
      <c r="H39" s="55">
        <v>0.50000000005820766</v>
      </c>
      <c r="I39" s="55">
        <v>1.4166666667442769</v>
      </c>
      <c r="J39" s="56">
        <v>1419.1666666666861</v>
      </c>
      <c r="K39" s="55">
        <v>-19.5</v>
      </c>
      <c r="L39" s="56">
        <v>16.5</v>
      </c>
      <c r="M39" s="55">
        <v>4.5</v>
      </c>
      <c r="N39" s="55">
        <v>5.0833333333139308</v>
      </c>
      <c r="O39" s="55">
        <v>0.83333333325572312</v>
      </c>
      <c r="P39" s="55">
        <v>1.7500000001164153</v>
      </c>
      <c r="Q39" s="55">
        <v>1.1666666666278616</v>
      </c>
      <c r="R39" s="55">
        <v>1.7666666666627862</v>
      </c>
      <c r="S39" s="55">
        <v>0.79999999998835847</v>
      </c>
      <c r="T39" s="55">
        <v>2.9166666667442769</v>
      </c>
      <c r="U39" s="55">
        <v>2.4166666666860692</v>
      </c>
      <c r="V39" s="55">
        <v>3.8333333334303461</v>
      </c>
      <c r="W39" s="55">
        <v>3.5000000000582077</v>
      </c>
      <c r="X39" s="56">
        <v>4.0000000001164153</v>
      </c>
      <c r="Y39" s="55">
        <v>0</v>
      </c>
      <c r="Z39" s="55">
        <v>0</v>
      </c>
      <c r="AA39" s="55">
        <v>0.6666666665696539</v>
      </c>
      <c r="AB39" s="55">
        <v>5.3333333332557231</v>
      </c>
      <c r="AC39" s="55">
        <v>0</v>
      </c>
      <c r="AD39" s="55">
        <v>0</v>
      </c>
      <c r="AE39" s="55">
        <v>0</v>
      </c>
      <c r="AF39" s="55">
        <v>0.8333333334303461</v>
      </c>
      <c r="AG39" s="55">
        <v>0</v>
      </c>
      <c r="AH39" s="55">
        <v>0</v>
      </c>
      <c r="AI39" s="55">
        <v>0</v>
      </c>
      <c r="AJ39" s="55">
        <v>0</v>
      </c>
      <c r="AK39" s="55">
        <v>0</v>
      </c>
      <c r="AL39" s="55">
        <v>0</v>
      </c>
      <c r="AM39" s="55">
        <v>0.90000000013969839</v>
      </c>
      <c r="AN39" s="55">
        <v>0</v>
      </c>
      <c r="AO39" s="55">
        <v>0</v>
      </c>
      <c r="AP39" s="55">
        <v>-48</v>
      </c>
      <c r="AQ39" s="57"/>
      <c r="AR39" s="58">
        <v>1</v>
      </c>
      <c r="AS39" s="59">
        <v>1425.6666666668025</v>
      </c>
      <c r="AT39" s="59">
        <v>-358.75</v>
      </c>
      <c r="AU39" s="59">
        <v>-1.8731707317073172</v>
      </c>
      <c r="AV39" s="65"/>
    </row>
    <row r="40" spans="1:48" hidden="1" x14ac:dyDescent="0.3">
      <c r="A40" s="64"/>
      <c r="B40" s="64">
        <v>198</v>
      </c>
      <c r="C40" s="54">
        <v>613</v>
      </c>
      <c r="D40" s="55">
        <v>0.49999999988358468</v>
      </c>
      <c r="E40" s="55">
        <v>0.75</v>
      </c>
      <c r="F40" s="55">
        <v>0.63333333347691223</v>
      </c>
      <c r="G40" s="55">
        <v>1.9999999998835847</v>
      </c>
      <c r="H40" s="55">
        <v>0</v>
      </c>
      <c r="I40" s="55">
        <v>1.7500000001164153</v>
      </c>
      <c r="J40" s="55">
        <v>0</v>
      </c>
      <c r="K40" s="55">
        <v>0</v>
      </c>
      <c r="L40" s="55">
        <v>0</v>
      </c>
      <c r="M40" s="55">
        <v>0</v>
      </c>
      <c r="N40" s="55">
        <v>0</v>
      </c>
      <c r="O40" s="55">
        <v>0</v>
      </c>
      <c r="P40" s="55">
        <v>0</v>
      </c>
      <c r="Q40" s="55">
        <v>0</v>
      </c>
      <c r="R40" s="55">
        <v>0</v>
      </c>
      <c r="S40" s="55">
        <v>0.66666666674427688</v>
      </c>
      <c r="T40" s="55">
        <v>0</v>
      </c>
      <c r="U40" s="55">
        <v>0</v>
      </c>
      <c r="V40" s="55">
        <v>0</v>
      </c>
      <c r="W40" s="55">
        <v>0</v>
      </c>
      <c r="X40" s="55">
        <v>0</v>
      </c>
      <c r="Y40" s="55">
        <v>0</v>
      </c>
      <c r="Z40" s="55">
        <v>0</v>
      </c>
      <c r="AA40" s="55">
        <v>0</v>
      </c>
      <c r="AB40" s="55">
        <v>0</v>
      </c>
      <c r="AC40" s="55">
        <v>0</v>
      </c>
      <c r="AD40" s="55">
        <v>0</v>
      </c>
      <c r="AE40" s="55">
        <v>0</v>
      </c>
      <c r="AF40" s="55">
        <v>0</v>
      </c>
      <c r="AG40" s="55">
        <v>0</v>
      </c>
      <c r="AH40" s="55">
        <v>0</v>
      </c>
      <c r="AI40" s="55">
        <v>0</v>
      </c>
      <c r="AJ40" s="55">
        <v>0</v>
      </c>
      <c r="AK40" s="55">
        <v>0</v>
      </c>
      <c r="AL40" s="55">
        <v>0</v>
      </c>
      <c r="AM40" s="55">
        <v>0</v>
      </c>
      <c r="AN40" s="55">
        <v>0</v>
      </c>
      <c r="AO40" s="55">
        <v>0</v>
      </c>
      <c r="AP40" s="55">
        <v>0.35000000009313226</v>
      </c>
      <c r="AQ40" s="57"/>
      <c r="AR40" s="58">
        <v>1</v>
      </c>
      <c r="AS40" s="59">
        <v>0</v>
      </c>
      <c r="AT40" s="59">
        <v>-311.06666666666666</v>
      </c>
      <c r="AU40" s="59">
        <v>-2.1603086155165028</v>
      </c>
      <c r="AV40" s="65"/>
    </row>
    <row r="41" spans="1:48" hidden="1" x14ac:dyDescent="0.3">
      <c r="A41" s="64"/>
      <c r="B41" s="64">
        <v>198</v>
      </c>
      <c r="C41" s="54">
        <v>614</v>
      </c>
      <c r="D41" s="55">
        <v>0.49999999988358468</v>
      </c>
      <c r="E41" s="55">
        <v>0.83333333325572312</v>
      </c>
      <c r="F41" s="55">
        <v>0.73333333327900618</v>
      </c>
      <c r="G41" s="55">
        <v>1.7499999999417923</v>
      </c>
      <c r="H41" s="55">
        <v>0.93333333340706304</v>
      </c>
      <c r="I41" s="55">
        <v>0</v>
      </c>
      <c r="J41" s="55">
        <v>4.5</v>
      </c>
      <c r="K41" s="56">
        <v>89.25</v>
      </c>
      <c r="L41" s="56">
        <v>73.5</v>
      </c>
      <c r="M41" s="55">
        <v>0</v>
      </c>
      <c r="N41" s="55">
        <v>3.2500000001164153</v>
      </c>
      <c r="O41" s="55">
        <v>0</v>
      </c>
      <c r="P41" s="55">
        <v>0.75</v>
      </c>
      <c r="Q41" s="55">
        <v>1.2499999998835847</v>
      </c>
      <c r="R41" s="55">
        <v>1.0833333333721384</v>
      </c>
      <c r="S41" s="55">
        <v>0.66666666674427688</v>
      </c>
      <c r="T41" s="55">
        <v>2.0000000000582077</v>
      </c>
      <c r="U41" s="56">
        <v>8.0000000000582077</v>
      </c>
      <c r="V41" s="55">
        <v>2.5000000001164153</v>
      </c>
      <c r="W41" s="55">
        <v>3.2500000001164153</v>
      </c>
      <c r="X41" s="55">
        <v>3.9999999999417923</v>
      </c>
      <c r="Y41" s="55">
        <v>1.9999999998835847</v>
      </c>
      <c r="Z41" s="55">
        <v>0.99999999994179234</v>
      </c>
      <c r="AA41" s="55">
        <v>0.50000000005820766</v>
      </c>
      <c r="AB41" s="55">
        <v>5.7500000000582077</v>
      </c>
      <c r="AC41" s="55">
        <v>0</v>
      </c>
      <c r="AD41" s="55">
        <v>0</v>
      </c>
      <c r="AE41" s="55">
        <v>0</v>
      </c>
      <c r="AF41" s="55">
        <v>0.66666666674427688</v>
      </c>
      <c r="AG41" s="55">
        <v>0</v>
      </c>
      <c r="AH41" s="55">
        <v>0</v>
      </c>
      <c r="AI41" s="55">
        <v>0</v>
      </c>
      <c r="AJ41" s="55">
        <v>0</v>
      </c>
      <c r="AK41" s="55">
        <v>0</v>
      </c>
      <c r="AL41" s="55">
        <v>0.93333333340706304</v>
      </c>
      <c r="AM41" s="55">
        <v>0</v>
      </c>
      <c r="AN41" s="55">
        <v>0</v>
      </c>
      <c r="AO41" s="56">
        <v>2.3333333332557231</v>
      </c>
      <c r="AP41" s="55">
        <v>1.21666666661622</v>
      </c>
      <c r="AQ41" s="57"/>
      <c r="AR41" s="58">
        <v>1</v>
      </c>
      <c r="AS41" s="59">
        <v>156.08333333331393</v>
      </c>
      <c r="AT41" s="59">
        <v>-144</v>
      </c>
      <c r="AU41" s="59">
        <v>-4.666666666666667</v>
      </c>
      <c r="AV41" s="65"/>
    </row>
    <row r="42" spans="1:48" hidden="1" x14ac:dyDescent="0.3">
      <c r="A42" s="64"/>
      <c r="B42" s="64">
        <v>198</v>
      </c>
      <c r="C42" s="54">
        <v>615</v>
      </c>
      <c r="D42" s="55">
        <v>0</v>
      </c>
      <c r="E42" s="55">
        <v>0.99999999994179234</v>
      </c>
      <c r="F42" s="55">
        <v>0.49999999988358468</v>
      </c>
      <c r="G42" s="55">
        <v>0</v>
      </c>
      <c r="H42" s="55">
        <v>1.8333333333721384</v>
      </c>
      <c r="I42" s="55">
        <v>1.7500000001164153</v>
      </c>
      <c r="J42" s="56">
        <v>11.25</v>
      </c>
      <c r="K42" s="56">
        <v>6.6333333333022892</v>
      </c>
      <c r="L42" s="56">
        <v>56.083333333313931</v>
      </c>
      <c r="M42" s="55">
        <v>4.7500000001164153</v>
      </c>
      <c r="N42" s="55">
        <v>5.7499999998835847</v>
      </c>
      <c r="O42" s="55">
        <v>0.99999999994179234</v>
      </c>
      <c r="P42" s="55">
        <v>1.6666666666860692</v>
      </c>
      <c r="Q42" s="55">
        <v>0.8333333334303461</v>
      </c>
      <c r="R42" s="55">
        <v>0</v>
      </c>
      <c r="S42" s="55">
        <v>0.6666666665696539</v>
      </c>
      <c r="T42" s="55">
        <v>3</v>
      </c>
      <c r="U42" s="55">
        <v>2.5000000001164153</v>
      </c>
      <c r="V42" s="55">
        <v>3.1666666666860692</v>
      </c>
      <c r="W42" s="55">
        <v>3.5833333333139308</v>
      </c>
      <c r="X42" s="55">
        <v>2.4999999999417923</v>
      </c>
      <c r="Y42" s="55">
        <v>1.8333333333721384</v>
      </c>
      <c r="Z42" s="55">
        <v>1.7499999999417923</v>
      </c>
      <c r="AA42" s="55">
        <v>0.6000000000349246</v>
      </c>
      <c r="AB42" s="55">
        <v>0</v>
      </c>
      <c r="AC42" s="55">
        <v>0</v>
      </c>
      <c r="AD42" s="55">
        <v>0</v>
      </c>
      <c r="AE42" s="55">
        <v>0</v>
      </c>
      <c r="AF42" s="55">
        <v>0.91666666668606922</v>
      </c>
      <c r="AG42" s="55">
        <v>0.99999999994179234</v>
      </c>
      <c r="AH42" s="55">
        <v>0.99999999994179234</v>
      </c>
      <c r="AI42" s="55">
        <v>0.91666666668606922</v>
      </c>
      <c r="AJ42" s="55">
        <v>2.4999999999417923</v>
      </c>
      <c r="AK42" s="56">
        <v>3.9166666666860692</v>
      </c>
      <c r="AL42" s="55">
        <v>0</v>
      </c>
      <c r="AM42" s="56">
        <v>10.750000000116415</v>
      </c>
      <c r="AN42" s="55">
        <v>0</v>
      </c>
      <c r="AO42" s="56">
        <v>2.4999999999417923</v>
      </c>
      <c r="AP42" s="55">
        <v>0.49999999988358468</v>
      </c>
      <c r="AQ42" s="57"/>
      <c r="AR42" s="58">
        <v>1</v>
      </c>
      <c r="AS42" s="59">
        <v>71.133333333360497</v>
      </c>
      <c r="AT42" s="59">
        <v>-129.75</v>
      </c>
      <c r="AU42" s="59">
        <v>-5.1791907514450868</v>
      </c>
      <c r="AV42" s="65"/>
    </row>
    <row r="43" spans="1:48" hidden="1" x14ac:dyDescent="0.3">
      <c r="A43" s="64"/>
      <c r="B43" s="64">
        <v>199</v>
      </c>
      <c r="C43" s="54">
        <v>616</v>
      </c>
      <c r="D43" s="55">
        <v>0.49999999988358468</v>
      </c>
      <c r="E43" s="55">
        <v>0.91666666668606922</v>
      </c>
      <c r="F43" s="55">
        <v>0.50000000005820766</v>
      </c>
      <c r="G43" s="55">
        <v>1.8333333331975155</v>
      </c>
      <c r="H43" s="56">
        <v>2.8333333333139308</v>
      </c>
      <c r="I43" s="55">
        <v>1.6666666666860692</v>
      </c>
      <c r="J43" s="56">
        <v>42.999999999941792</v>
      </c>
      <c r="K43" s="55">
        <v>4.5</v>
      </c>
      <c r="L43" s="55">
        <v>0</v>
      </c>
      <c r="M43" s="55">
        <v>0</v>
      </c>
      <c r="N43" s="55">
        <v>3.8666666666977108</v>
      </c>
      <c r="O43" s="55">
        <v>0.99999999994179234</v>
      </c>
      <c r="P43" s="56">
        <v>4.0000000001164153</v>
      </c>
      <c r="Q43" s="55">
        <v>1.3333333334885538</v>
      </c>
      <c r="R43" s="55">
        <v>1.1666666666278616</v>
      </c>
      <c r="S43" s="56">
        <v>11.833333333313931</v>
      </c>
      <c r="T43" s="55">
        <v>2.433333333407063</v>
      </c>
      <c r="U43" s="56">
        <v>45.499999999883585</v>
      </c>
      <c r="V43" s="55">
        <v>0</v>
      </c>
      <c r="W43" s="55">
        <v>3.9999999999417923</v>
      </c>
      <c r="X43" s="55">
        <v>3.9999999999417923</v>
      </c>
      <c r="Y43" s="55">
        <v>0</v>
      </c>
      <c r="Z43" s="55">
        <v>0</v>
      </c>
      <c r="AA43" s="55">
        <v>0</v>
      </c>
      <c r="AB43" s="55">
        <v>6.9999999999417923</v>
      </c>
      <c r="AC43" s="55">
        <v>0</v>
      </c>
      <c r="AD43" s="55">
        <v>0</v>
      </c>
      <c r="AE43" s="55">
        <v>0</v>
      </c>
      <c r="AF43" s="55">
        <v>0.99999999994179234</v>
      </c>
      <c r="AG43" s="56">
        <v>744.99999999994179</v>
      </c>
      <c r="AH43" s="55">
        <v>0</v>
      </c>
      <c r="AI43" s="55">
        <v>1.2500000000582077</v>
      </c>
      <c r="AJ43" s="55">
        <v>1.5</v>
      </c>
      <c r="AK43" s="56">
        <v>3.9999999999417923</v>
      </c>
      <c r="AL43" s="55">
        <v>0</v>
      </c>
      <c r="AM43" s="56">
        <v>1.2500000000582077</v>
      </c>
      <c r="AN43" s="55">
        <v>0.99999999994179234</v>
      </c>
      <c r="AO43" s="56">
        <v>1.5</v>
      </c>
      <c r="AP43" s="55">
        <v>0.49999999988358468</v>
      </c>
      <c r="AQ43" s="57"/>
      <c r="AR43" s="58">
        <v>1</v>
      </c>
      <c r="AS43" s="59">
        <v>834.91666666651145</v>
      </c>
      <c r="AT43" s="59">
        <v>-133.75</v>
      </c>
      <c r="AU43" s="59">
        <v>-5.0242990654205606</v>
      </c>
      <c r="AV43" s="65"/>
    </row>
    <row r="44" spans="1:48" hidden="1" x14ac:dyDescent="0.3">
      <c r="A44" s="64"/>
      <c r="B44" s="64">
        <v>199</v>
      </c>
      <c r="C44" s="54">
        <v>617</v>
      </c>
      <c r="D44" s="55">
        <v>0.49999999988358468</v>
      </c>
      <c r="E44" s="55">
        <v>0</v>
      </c>
      <c r="F44" s="55">
        <v>0.49999999988358468</v>
      </c>
      <c r="G44" s="55">
        <v>1.9166666666278616</v>
      </c>
      <c r="H44" s="56">
        <v>3.4999999998835847</v>
      </c>
      <c r="I44" s="55">
        <v>1.8333333333721384</v>
      </c>
      <c r="J44" s="56">
        <v>40.5</v>
      </c>
      <c r="K44" s="56">
        <v>13.183333333348855</v>
      </c>
      <c r="L44" s="56">
        <v>80.500000000116415</v>
      </c>
      <c r="M44" s="56">
        <v>8.0833333333139308</v>
      </c>
      <c r="N44" s="55">
        <v>2.8333333333139308</v>
      </c>
      <c r="O44" s="55">
        <v>0.55000000004656613</v>
      </c>
      <c r="P44" s="55">
        <v>3.8333333334303461</v>
      </c>
      <c r="Q44" s="55">
        <v>1.4166666665696539</v>
      </c>
      <c r="R44" s="55">
        <v>0.83333333325572312</v>
      </c>
      <c r="S44" s="55">
        <v>0.50000000005820766</v>
      </c>
      <c r="T44" s="55">
        <v>2.2666666667209938</v>
      </c>
      <c r="U44" s="55">
        <v>4.1666666666278616</v>
      </c>
      <c r="V44" s="55">
        <v>2.9166666667442769</v>
      </c>
      <c r="W44" s="56">
        <v>15</v>
      </c>
      <c r="X44" s="55">
        <v>0</v>
      </c>
      <c r="Y44" s="55">
        <v>0</v>
      </c>
      <c r="Z44" s="55">
        <v>0</v>
      </c>
      <c r="AA44" s="55">
        <v>-2.0000000000582077</v>
      </c>
      <c r="AB44" s="55">
        <v>5.4999999999417923</v>
      </c>
      <c r="AC44" s="56">
        <v>4.5</v>
      </c>
      <c r="AD44" s="56">
        <v>1417.5</v>
      </c>
      <c r="AE44" s="55">
        <v>0</v>
      </c>
      <c r="AF44" s="55">
        <v>0.99999999994179234</v>
      </c>
      <c r="AG44" s="55">
        <v>0.99999999994179234</v>
      </c>
      <c r="AH44" s="55">
        <v>0.99999999994179234</v>
      </c>
      <c r="AI44" s="55">
        <v>1.5</v>
      </c>
      <c r="AJ44" s="56">
        <v>27.500000000058208</v>
      </c>
      <c r="AK44" s="56">
        <v>30</v>
      </c>
      <c r="AL44" s="55">
        <v>0.75</v>
      </c>
      <c r="AM44" s="55">
        <v>0.99999999994179234</v>
      </c>
      <c r="AN44" s="56">
        <v>2.0000000000582077</v>
      </c>
      <c r="AO44" s="55">
        <v>0.99999999994179234</v>
      </c>
      <c r="AP44" s="55">
        <v>0.38333333336049691</v>
      </c>
      <c r="AQ44" s="57"/>
      <c r="AR44" s="58">
        <v>1</v>
      </c>
      <c r="AS44" s="59">
        <v>1603.2666666667792</v>
      </c>
      <c r="AT44" s="59">
        <v>-173</v>
      </c>
      <c r="AU44" s="59">
        <v>-3.8843930635838153</v>
      </c>
      <c r="AV44" s="65" t="s">
        <v>781</v>
      </c>
    </row>
    <row r="45" spans="1:48" hidden="1" x14ac:dyDescent="0.3">
      <c r="A45" s="64"/>
      <c r="B45" s="64">
        <v>199</v>
      </c>
      <c r="C45" s="54">
        <v>618</v>
      </c>
      <c r="D45" s="55">
        <v>0.50000000005820766</v>
      </c>
      <c r="E45" s="55">
        <v>0.91666666651144624</v>
      </c>
      <c r="F45" s="55">
        <v>0</v>
      </c>
      <c r="G45" s="55">
        <v>1.8333333333721384</v>
      </c>
      <c r="H45" s="56">
        <v>2.3333333334303461</v>
      </c>
      <c r="I45" s="55">
        <v>1.8333333333721384</v>
      </c>
      <c r="J45" s="56">
        <v>53.933333333290648</v>
      </c>
      <c r="K45" s="55">
        <v>0</v>
      </c>
      <c r="L45" s="56">
        <v>78.833333333430346</v>
      </c>
      <c r="M45" s="56">
        <v>78.833333333430346</v>
      </c>
      <c r="N45" s="55">
        <v>4.0000000001164153</v>
      </c>
      <c r="O45" s="55">
        <v>0.6000000000349246</v>
      </c>
      <c r="P45" s="55">
        <v>0.75</v>
      </c>
      <c r="Q45" s="55">
        <v>1.1833333333488554</v>
      </c>
      <c r="R45" s="55">
        <v>0</v>
      </c>
      <c r="S45" s="55">
        <v>0.66666666674427688</v>
      </c>
      <c r="T45" s="55">
        <v>0</v>
      </c>
      <c r="U45" s="55">
        <v>2.5999999999185093</v>
      </c>
      <c r="V45" s="55">
        <v>-4.7499999999417923</v>
      </c>
      <c r="W45" s="55">
        <v>0</v>
      </c>
      <c r="X45" s="55">
        <v>0</v>
      </c>
      <c r="Y45" s="55">
        <v>0</v>
      </c>
      <c r="Z45" s="56">
        <v>2.6666666666278616</v>
      </c>
      <c r="AA45" s="55">
        <v>0</v>
      </c>
      <c r="AB45" s="55">
        <v>6.75</v>
      </c>
      <c r="AC45" s="56">
        <v>4.5</v>
      </c>
      <c r="AD45" s="55">
        <v>0</v>
      </c>
      <c r="AE45" s="55">
        <v>0</v>
      </c>
      <c r="AF45" s="55">
        <v>0</v>
      </c>
      <c r="AG45" s="55">
        <v>0</v>
      </c>
      <c r="AH45" s="55">
        <v>0.99999999994179234</v>
      </c>
      <c r="AI45" s="55">
        <v>0</v>
      </c>
      <c r="AJ45" s="55">
        <v>0</v>
      </c>
      <c r="AK45" s="55">
        <v>3</v>
      </c>
      <c r="AL45" s="55">
        <v>0</v>
      </c>
      <c r="AM45" s="55">
        <v>0.99999999994179234</v>
      </c>
      <c r="AN45" s="55">
        <v>0</v>
      </c>
      <c r="AO45" s="55">
        <v>0</v>
      </c>
      <c r="AP45" s="55">
        <v>0</v>
      </c>
      <c r="AQ45" s="57"/>
      <c r="AR45" s="58">
        <v>1</v>
      </c>
      <c r="AS45" s="59">
        <v>198.10000000020955</v>
      </c>
      <c r="AT45" s="59">
        <v>-190.6</v>
      </c>
      <c r="AU45" s="59">
        <v>-3.5257082896117526</v>
      </c>
      <c r="AV45" s="65"/>
    </row>
    <row r="46" spans="1:48" hidden="1" x14ac:dyDescent="0.3">
      <c r="A46" s="64"/>
      <c r="B46" s="64">
        <v>200</v>
      </c>
      <c r="C46" s="54">
        <v>619</v>
      </c>
      <c r="D46" s="55">
        <v>0.50000000005820766</v>
      </c>
      <c r="E46" s="55">
        <v>0.99999999994179234</v>
      </c>
      <c r="F46" s="55">
        <v>0.58333333331393078</v>
      </c>
      <c r="G46" s="55">
        <v>1.8333333333721384</v>
      </c>
      <c r="H46" s="56">
        <v>3.75</v>
      </c>
      <c r="I46" s="55">
        <v>1.5833333334303461</v>
      </c>
      <c r="J46" s="56">
        <v>10.5</v>
      </c>
      <c r="K46" s="56">
        <v>66.666666666744277</v>
      </c>
      <c r="L46" s="56">
        <v>5.0000000000582077</v>
      </c>
      <c r="M46" s="56">
        <v>5.0000000000582077</v>
      </c>
      <c r="N46" s="55">
        <v>0</v>
      </c>
      <c r="O46" s="55">
        <v>0.66666666674427688</v>
      </c>
      <c r="P46" s="55">
        <v>1.5</v>
      </c>
      <c r="Q46" s="55">
        <v>1.4166666667442769</v>
      </c>
      <c r="R46" s="55">
        <v>0.91666666668606922</v>
      </c>
      <c r="S46" s="56">
        <v>1.3333333333139308</v>
      </c>
      <c r="T46" s="55">
        <v>2.8333333333139308</v>
      </c>
      <c r="U46" s="55">
        <v>4.5</v>
      </c>
      <c r="V46" s="55">
        <v>3.4833333333372138</v>
      </c>
      <c r="W46" s="55">
        <v>3.8333333334303461</v>
      </c>
      <c r="X46" s="55">
        <v>3.8333333334303461</v>
      </c>
      <c r="Y46" s="55">
        <v>1.5</v>
      </c>
      <c r="Z46" s="55">
        <v>0.40000000008149073</v>
      </c>
      <c r="AA46" s="55">
        <v>0</v>
      </c>
      <c r="AB46" s="55">
        <v>6.5000000000582077</v>
      </c>
      <c r="AC46" s="55">
        <v>3.9166666666860692</v>
      </c>
      <c r="AD46" s="55">
        <v>0</v>
      </c>
      <c r="AE46" s="55">
        <v>0</v>
      </c>
      <c r="AF46" s="56">
        <v>1.2500000000582077</v>
      </c>
      <c r="AG46" s="55">
        <v>0</v>
      </c>
      <c r="AH46" s="56">
        <v>1.0000000001164153</v>
      </c>
      <c r="AI46" s="55">
        <v>1.2500000000582077</v>
      </c>
      <c r="AJ46" s="55">
        <v>2.5833333333721384</v>
      </c>
      <c r="AK46" s="55">
        <v>0</v>
      </c>
      <c r="AL46" s="55">
        <v>0</v>
      </c>
      <c r="AM46" s="56">
        <v>1.2500000000582077</v>
      </c>
      <c r="AN46" s="55">
        <v>0</v>
      </c>
      <c r="AO46" s="55">
        <v>0</v>
      </c>
      <c r="AP46" s="55">
        <v>1.1666666666278616</v>
      </c>
      <c r="AQ46" s="57"/>
      <c r="AR46" s="58">
        <v>1</v>
      </c>
      <c r="AS46" s="59">
        <v>69.750000000407454</v>
      </c>
      <c r="AT46" s="59">
        <v>-177.4</v>
      </c>
      <c r="AU46" s="59">
        <v>-3.7880496054114996</v>
      </c>
      <c r="AV46" s="65"/>
    </row>
    <row r="47" spans="1:48" hidden="1" x14ac:dyDescent="0.3">
      <c r="A47" s="64"/>
      <c r="B47" s="64">
        <v>200</v>
      </c>
      <c r="C47" s="54">
        <v>620</v>
      </c>
      <c r="D47" s="55">
        <v>0.50000000005820766</v>
      </c>
      <c r="E47" s="55">
        <v>1.1666666668024845</v>
      </c>
      <c r="F47" s="55">
        <v>0.58333333331393078</v>
      </c>
      <c r="G47" s="55">
        <v>1.8333333333721384</v>
      </c>
      <c r="H47" s="56">
        <v>2.1666666667442769</v>
      </c>
      <c r="I47" s="55">
        <v>1.7499999999417923</v>
      </c>
      <c r="J47" s="56">
        <v>58.166666666802485</v>
      </c>
      <c r="K47" s="56">
        <v>29.166666666569654</v>
      </c>
      <c r="L47" s="56">
        <v>72.783333333441988</v>
      </c>
      <c r="M47" s="56">
        <v>72.783333333441988</v>
      </c>
      <c r="N47" s="56">
        <v>8.9166666667442769</v>
      </c>
      <c r="O47" s="55">
        <v>0.6666666665696539</v>
      </c>
      <c r="P47" s="55">
        <v>0.8333333334303461</v>
      </c>
      <c r="Q47" s="55">
        <v>1.1666666668024845</v>
      </c>
      <c r="R47" s="55">
        <v>0</v>
      </c>
      <c r="S47" s="55">
        <v>0.75</v>
      </c>
      <c r="T47" s="55">
        <v>1.9333333333488554</v>
      </c>
      <c r="U47" s="55">
        <v>0</v>
      </c>
      <c r="V47" s="55">
        <v>0</v>
      </c>
      <c r="W47" s="55">
        <v>0</v>
      </c>
      <c r="X47" s="56">
        <v>46.433333333290648</v>
      </c>
      <c r="Y47" s="55">
        <v>0</v>
      </c>
      <c r="Z47" s="55">
        <v>0</v>
      </c>
      <c r="AA47" s="55">
        <v>0.33333333319751546</v>
      </c>
      <c r="AB47" s="55">
        <v>4.7500000001164153</v>
      </c>
      <c r="AC47" s="55">
        <v>0</v>
      </c>
      <c r="AD47" s="55">
        <v>0</v>
      </c>
      <c r="AE47" s="56">
        <v>3.9999999999417923</v>
      </c>
      <c r="AF47" s="55">
        <v>0.96666666667442769</v>
      </c>
      <c r="AG47" s="55">
        <v>0.99999999994179234</v>
      </c>
      <c r="AH47" s="55">
        <v>0</v>
      </c>
      <c r="AI47" s="55">
        <v>1.5</v>
      </c>
      <c r="AJ47" s="56">
        <v>19.833333333197515</v>
      </c>
      <c r="AK47" s="56">
        <v>3.9999999999417923</v>
      </c>
      <c r="AL47" s="55">
        <v>0.33333333337213844</v>
      </c>
      <c r="AM47" s="55">
        <v>0.99999999994179234</v>
      </c>
      <c r="AN47" s="55">
        <v>0</v>
      </c>
      <c r="AO47" s="55">
        <v>0.50000000005820766</v>
      </c>
      <c r="AP47" s="55">
        <v>0.28333333338377997</v>
      </c>
      <c r="AQ47" s="57"/>
      <c r="AR47" s="58">
        <v>1</v>
      </c>
      <c r="AS47" s="59">
        <v>278.25000000011642</v>
      </c>
      <c r="AT47" s="59">
        <v>-185</v>
      </c>
      <c r="AU47" s="59">
        <v>-3.6324324324324326</v>
      </c>
      <c r="AV47" s="65"/>
    </row>
    <row r="48" spans="1:48" hidden="1" x14ac:dyDescent="0.3">
      <c r="A48" s="64"/>
      <c r="B48" s="64">
        <v>200</v>
      </c>
      <c r="C48" s="54">
        <v>621</v>
      </c>
      <c r="D48" s="55">
        <v>0.49999999988358468</v>
      </c>
      <c r="E48" s="55">
        <v>0.99999999994179234</v>
      </c>
      <c r="F48" s="55">
        <v>0.58333333331393078</v>
      </c>
      <c r="G48" s="56">
        <v>2.0000000000582077</v>
      </c>
      <c r="H48" s="56">
        <v>2.6666666666278616</v>
      </c>
      <c r="I48" s="55">
        <v>1.8333333331975155</v>
      </c>
      <c r="J48" s="56">
        <v>108</v>
      </c>
      <c r="K48" s="56">
        <v>53.833333333313931</v>
      </c>
      <c r="L48" s="56">
        <v>8.8333333333139308</v>
      </c>
      <c r="M48" s="56">
        <v>8.8333333333139308</v>
      </c>
      <c r="N48" s="55">
        <v>3.5000000000582077</v>
      </c>
      <c r="O48" s="55">
        <v>0.66666666674427688</v>
      </c>
      <c r="P48" s="55">
        <v>0.75</v>
      </c>
      <c r="Q48" s="55">
        <v>1.9333333333488554</v>
      </c>
      <c r="R48" s="55">
        <v>1.1666666666278616</v>
      </c>
      <c r="S48" s="56">
        <v>37.166666666802485</v>
      </c>
      <c r="T48" s="56">
        <v>37.166666666802485</v>
      </c>
      <c r="U48" s="56">
        <v>25.916666666802485</v>
      </c>
      <c r="V48" s="55">
        <v>2.5833333333721384</v>
      </c>
      <c r="W48" s="55">
        <v>3.3333333331975155</v>
      </c>
      <c r="X48" s="56">
        <v>31.5</v>
      </c>
      <c r="Y48" s="55">
        <v>1.5999999999767169</v>
      </c>
      <c r="Z48" s="55">
        <v>1.4833333332790062</v>
      </c>
      <c r="AA48" s="55">
        <v>0.75</v>
      </c>
      <c r="AB48" s="56">
        <v>7.0000000001164153</v>
      </c>
      <c r="AC48" s="55">
        <v>0</v>
      </c>
      <c r="AD48" s="55">
        <v>0</v>
      </c>
      <c r="AE48" s="55">
        <v>0</v>
      </c>
      <c r="AF48" s="55">
        <v>0.99999999994179234</v>
      </c>
      <c r="AG48" s="55">
        <v>0.99999999994179234</v>
      </c>
      <c r="AH48" s="56">
        <v>1.0000000001164153</v>
      </c>
      <c r="AI48" s="55">
        <v>-11.750000000058208</v>
      </c>
      <c r="AJ48" s="55">
        <v>2.4166666666860692</v>
      </c>
      <c r="AK48" s="55">
        <v>2.7000000000698492</v>
      </c>
      <c r="AL48" s="55">
        <v>0.24999999994179234</v>
      </c>
      <c r="AM48" s="55">
        <v>0.91666666668606922</v>
      </c>
      <c r="AN48" s="55">
        <v>0.99999999994179234</v>
      </c>
      <c r="AO48" s="55">
        <v>0</v>
      </c>
      <c r="AP48" s="55">
        <v>0.26666666666278616</v>
      </c>
      <c r="AQ48" s="57"/>
      <c r="AR48" s="58">
        <v>1</v>
      </c>
      <c r="AS48" s="59">
        <v>277.91666666726815</v>
      </c>
      <c r="AT48" s="59">
        <v>-187.76666666666668</v>
      </c>
      <c r="AU48" s="59">
        <v>-3.5789099946742406</v>
      </c>
      <c r="AV48" s="65"/>
    </row>
    <row r="49" spans="1:48" hidden="1" x14ac:dyDescent="0.3">
      <c r="A49" s="64"/>
      <c r="B49" s="64">
        <v>201</v>
      </c>
      <c r="C49" s="54">
        <v>622</v>
      </c>
      <c r="D49" s="55">
        <v>0.50000000005820766</v>
      </c>
      <c r="E49" s="55">
        <v>1.2500000000582077</v>
      </c>
      <c r="F49" s="55">
        <v>0.49999999988358468</v>
      </c>
      <c r="G49" s="55">
        <v>1.9166666666278616</v>
      </c>
      <c r="H49" s="55">
        <v>1.5</v>
      </c>
      <c r="I49" s="55">
        <v>1.8333333331975155</v>
      </c>
      <c r="J49" s="56">
        <v>9.2500000001164153</v>
      </c>
      <c r="K49" s="56">
        <v>17.033333333325572</v>
      </c>
      <c r="L49" s="56">
        <v>7.4500000000116415</v>
      </c>
      <c r="M49" s="56">
        <v>7.4166666667442769</v>
      </c>
      <c r="N49" s="55">
        <v>0</v>
      </c>
      <c r="O49" s="55">
        <v>0</v>
      </c>
      <c r="P49" s="55">
        <v>0.66666666674427688</v>
      </c>
      <c r="Q49" s="55">
        <v>1.3333333333139308</v>
      </c>
      <c r="R49" s="55">
        <v>0.8333333334303461</v>
      </c>
      <c r="S49" s="55">
        <v>0.6666666665696539</v>
      </c>
      <c r="T49" s="56">
        <v>3.8333333332557231</v>
      </c>
      <c r="U49" s="55">
        <v>0</v>
      </c>
      <c r="V49" s="55">
        <v>3.5000000000582077</v>
      </c>
      <c r="W49" s="56">
        <v>4.0000000001164153</v>
      </c>
      <c r="X49" s="55">
        <v>3</v>
      </c>
      <c r="Y49" s="55">
        <v>0</v>
      </c>
      <c r="Z49" s="56">
        <v>2.0000000000582077</v>
      </c>
      <c r="AA49" s="55">
        <v>0</v>
      </c>
      <c r="AB49" s="55">
        <v>5.5999999999185093</v>
      </c>
      <c r="AC49" s="55">
        <v>0</v>
      </c>
      <c r="AD49" s="55">
        <v>0</v>
      </c>
      <c r="AE49" s="56">
        <v>3.3333333331975155</v>
      </c>
      <c r="AF49" s="55">
        <v>0.50000000005820766</v>
      </c>
      <c r="AG49" s="55">
        <v>0.50000000005820766</v>
      </c>
      <c r="AH49" s="55">
        <v>0</v>
      </c>
      <c r="AI49" s="55">
        <v>1.5</v>
      </c>
      <c r="AJ49" s="55">
        <v>0</v>
      </c>
      <c r="AK49" s="56">
        <v>9.4166666668024845</v>
      </c>
      <c r="AL49" s="55">
        <v>0.33333333337213844</v>
      </c>
      <c r="AM49" s="56">
        <v>1.0000000001164153</v>
      </c>
      <c r="AN49" s="55">
        <v>0.99999999994179234</v>
      </c>
      <c r="AO49" s="56">
        <v>1.3333333333139308</v>
      </c>
      <c r="AP49" s="55">
        <v>0.16666666668606922</v>
      </c>
      <c r="AQ49" s="57"/>
      <c r="AR49" s="58">
        <v>1</v>
      </c>
      <c r="AS49" s="59">
        <v>30.066666667058598</v>
      </c>
      <c r="AT49" s="59">
        <v>-145</v>
      </c>
      <c r="AU49" s="59">
        <v>-4.6344827586206891</v>
      </c>
      <c r="AV49" s="65"/>
    </row>
    <row r="50" spans="1:48" hidden="1" x14ac:dyDescent="0.3">
      <c r="A50" s="64"/>
      <c r="B50" s="64">
        <v>201</v>
      </c>
      <c r="C50" s="54">
        <v>623</v>
      </c>
      <c r="D50" s="55">
        <v>0.50000000005820766</v>
      </c>
      <c r="E50" s="55">
        <v>0.93333333340706304</v>
      </c>
      <c r="F50" s="55">
        <v>0.58333333331393078</v>
      </c>
      <c r="G50" s="56">
        <v>2.0166666666045785</v>
      </c>
      <c r="H50" s="56">
        <v>3.4999999998835847</v>
      </c>
      <c r="I50" s="55">
        <v>1.6666666666860692</v>
      </c>
      <c r="J50" s="56">
        <v>86.500000000116415</v>
      </c>
      <c r="K50" s="56">
        <v>8.4999999999417923</v>
      </c>
      <c r="L50" s="56">
        <v>40.250000000058208</v>
      </c>
      <c r="M50" s="56">
        <v>40.916666666802485</v>
      </c>
      <c r="N50" s="55">
        <v>5.1666666667442769</v>
      </c>
      <c r="O50" s="55">
        <v>0.6666666665696539</v>
      </c>
      <c r="P50" s="55">
        <v>1.0000000001164153</v>
      </c>
      <c r="Q50" s="55">
        <v>1.0833333333721384</v>
      </c>
      <c r="R50" s="55">
        <v>1.0000000001164153</v>
      </c>
      <c r="S50" s="56">
        <v>1.5833333332557231</v>
      </c>
      <c r="T50" s="56">
        <v>4.7499999999417923</v>
      </c>
      <c r="U50" s="55">
        <v>0</v>
      </c>
      <c r="V50" s="55">
        <v>-45.383333333360497</v>
      </c>
      <c r="W50" s="55">
        <v>3.8333333334303461</v>
      </c>
      <c r="X50" s="55">
        <v>0</v>
      </c>
      <c r="Y50" s="55">
        <v>1.5</v>
      </c>
      <c r="Z50" s="55">
        <v>0</v>
      </c>
      <c r="AA50" s="55">
        <v>0.75</v>
      </c>
      <c r="AB50" s="55">
        <v>6.3500000000931323</v>
      </c>
      <c r="AC50" s="55">
        <v>0</v>
      </c>
      <c r="AD50" s="55">
        <v>0</v>
      </c>
      <c r="AE50" s="55">
        <v>0</v>
      </c>
      <c r="AF50" s="55">
        <v>0.88333333341870457</v>
      </c>
      <c r="AG50" s="55">
        <v>0.99999999994179234</v>
      </c>
      <c r="AH50" s="55">
        <v>0.79999999998835847</v>
      </c>
      <c r="AI50" s="55">
        <v>0.33333333337213844</v>
      </c>
      <c r="AJ50" s="55">
        <v>2.5000000001164153</v>
      </c>
      <c r="AK50" s="56">
        <v>9.1666666666860692</v>
      </c>
      <c r="AL50" s="55">
        <v>0.50000000005820766</v>
      </c>
      <c r="AM50" s="56">
        <v>1.6666666666860692</v>
      </c>
      <c r="AN50" s="56">
        <v>1.0000000001164153</v>
      </c>
      <c r="AO50" s="55">
        <v>0</v>
      </c>
      <c r="AP50" s="55">
        <v>0.48333333333721384</v>
      </c>
      <c r="AQ50" s="57"/>
      <c r="AR50" s="58">
        <v>1</v>
      </c>
      <c r="AS50" s="59">
        <v>166.85000000009313</v>
      </c>
      <c r="AT50" s="59">
        <v>-170.8</v>
      </c>
      <c r="AU50" s="59">
        <v>-3.9344262295081962</v>
      </c>
      <c r="AV50" s="65"/>
    </row>
    <row r="51" spans="1:48" hidden="1" x14ac:dyDescent="0.3">
      <c r="A51" s="64"/>
      <c r="B51" s="64">
        <v>201</v>
      </c>
      <c r="C51" s="54">
        <v>624</v>
      </c>
      <c r="D51" s="55">
        <v>0.50000000005820766</v>
      </c>
      <c r="E51" s="55">
        <v>-15.416666666627862</v>
      </c>
      <c r="F51" s="55">
        <v>0.50000000005820766</v>
      </c>
      <c r="G51" s="55">
        <v>1.5</v>
      </c>
      <c r="H51" s="55">
        <v>1.4166666665696539</v>
      </c>
      <c r="I51" s="55">
        <v>1.9166666666278616</v>
      </c>
      <c r="J51" s="56">
        <v>9.4166666666278616</v>
      </c>
      <c r="K51" s="56">
        <v>36.500000000058208</v>
      </c>
      <c r="L51" s="56">
        <v>9.9666666666744277</v>
      </c>
      <c r="M51" s="56">
        <v>9.9666666666744277</v>
      </c>
      <c r="N51" s="55">
        <v>5.71666666661622</v>
      </c>
      <c r="O51" s="55">
        <v>0.81666666670935228</v>
      </c>
      <c r="P51" s="55">
        <v>1.9333333333488554</v>
      </c>
      <c r="Q51" s="55">
        <v>1.5</v>
      </c>
      <c r="R51" s="55">
        <v>0.83333333325572312</v>
      </c>
      <c r="S51" s="55">
        <v>0.99999999994179234</v>
      </c>
      <c r="T51" s="55">
        <v>1.5666666667093523</v>
      </c>
      <c r="U51" s="55">
        <v>-41.25</v>
      </c>
      <c r="V51" s="55">
        <v>1.7499999999417923</v>
      </c>
      <c r="W51" s="55">
        <v>2.4999999999417923</v>
      </c>
      <c r="X51" s="55">
        <v>2.0000000000582077</v>
      </c>
      <c r="Y51" s="56">
        <v>86.000000000058208</v>
      </c>
      <c r="Z51" s="55">
        <v>1.3333333333139308</v>
      </c>
      <c r="AA51" s="55">
        <v>0.75</v>
      </c>
      <c r="AB51" s="55">
        <v>5.3333333334303461</v>
      </c>
      <c r="AC51" s="55">
        <v>0</v>
      </c>
      <c r="AD51" s="55">
        <v>0</v>
      </c>
      <c r="AE51" s="55">
        <v>0</v>
      </c>
      <c r="AF51" s="55">
        <v>0.76666666654637083</v>
      </c>
      <c r="AG51" s="55">
        <v>0.81666666670935228</v>
      </c>
      <c r="AH51" s="55">
        <v>0.83333333325572312</v>
      </c>
      <c r="AI51" s="55">
        <v>1.6666666666860692</v>
      </c>
      <c r="AJ51" s="55">
        <v>1.9166666666278616</v>
      </c>
      <c r="AK51" s="55">
        <v>1.3333333333139308</v>
      </c>
      <c r="AL51" s="55">
        <v>0.75</v>
      </c>
      <c r="AM51" s="55">
        <v>0.88333333324408159</v>
      </c>
      <c r="AN51" s="55">
        <v>0.75</v>
      </c>
      <c r="AO51" s="55">
        <v>0.86666666652308777</v>
      </c>
      <c r="AP51" s="55">
        <v>0.78333333344198763</v>
      </c>
      <c r="AQ51" s="57"/>
      <c r="AR51" s="58">
        <v>1</v>
      </c>
      <c r="AS51" s="59">
        <v>129.85000000009313</v>
      </c>
      <c r="AT51" s="59">
        <v>-129.16666666666666</v>
      </c>
      <c r="AU51" s="59">
        <v>-5.2025806451612908</v>
      </c>
      <c r="AV51" s="65"/>
    </row>
    <row r="52" spans="1:48" hidden="1" x14ac:dyDescent="0.3">
      <c r="A52" s="64"/>
      <c r="B52" s="64">
        <v>202</v>
      </c>
      <c r="C52" s="54">
        <v>625</v>
      </c>
      <c r="D52" s="55">
        <v>0.58333333331393078</v>
      </c>
      <c r="E52" s="55">
        <v>0</v>
      </c>
      <c r="F52" s="55">
        <v>0.93333333323244005</v>
      </c>
      <c r="G52" s="55">
        <v>1.8333333333721384</v>
      </c>
      <c r="H52" s="56">
        <v>4.7500000001164153</v>
      </c>
      <c r="I52" s="55">
        <v>1.8333333333721384</v>
      </c>
      <c r="J52" s="55">
        <v>4.5</v>
      </c>
      <c r="K52" s="55">
        <v>0</v>
      </c>
      <c r="L52" s="55">
        <v>-19.5</v>
      </c>
      <c r="M52" s="55">
        <v>4.5</v>
      </c>
      <c r="N52" s="55">
        <v>0</v>
      </c>
      <c r="O52" s="55">
        <v>0</v>
      </c>
      <c r="P52" s="55">
        <v>1.3999999998486601</v>
      </c>
      <c r="Q52" s="55">
        <v>1.8333333333721384</v>
      </c>
      <c r="R52" s="55">
        <v>1.1666666668024845</v>
      </c>
      <c r="S52" s="55">
        <v>-7.7333333333954215</v>
      </c>
      <c r="T52" s="56">
        <v>5.2666666665463708</v>
      </c>
      <c r="U52" s="55">
        <v>-21.499999999883585</v>
      </c>
      <c r="V52" s="55">
        <v>-44.166666666744277</v>
      </c>
      <c r="W52" s="55">
        <v>-44.25</v>
      </c>
      <c r="X52" s="56">
        <v>23.000000000058208</v>
      </c>
      <c r="Y52" s="55">
        <v>0.24999999994179234</v>
      </c>
      <c r="Z52" s="55">
        <v>1.2500000000582077</v>
      </c>
      <c r="AA52" s="55">
        <v>0.33333333319751546</v>
      </c>
      <c r="AB52" s="55">
        <v>6.5000000000582077</v>
      </c>
      <c r="AC52" s="55">
        <v>0</v>
      </c>
      <c r="AD52" s="55">
        <v>0</v>
      </c>
      <c r="AE52" s="55">
        <v>0</v>
      </c>
      <c r="AF52" s="55">
        <v>0.99999999994179234</v>
      </c>
      <c r="AG52" s="56">
        <v>1.0000000001164153</v>
      </c>
      <c r="AH52" s="55">
        <v>0.99999999994179234</v>
      </c>
      <c r="AI52" s="55">
        <v>-15.999999999941792</v>
      </c>
      <c r="AJ52" s="55">
        <v>2.3333333332557231</v>
      </c>
      <c r="AK52" s="55">
        <v>2.9833333332790062</v>
      </c>
      <c r="AL52" s="55">
        <v>0.66666666674427688</v>
      </c>
      <c r="AM52" s="55">
        <v>0.58333333331393078</v>
      </c>
      <c r="AN52" s="55">
        <v>0.99999999994179234</v>
      </c>
      <c r="AO52" s="55">
        <v>0</v>
      </c>
      <c r="AP52" s="55">
        <v>0</v>
      </c>
      <c r="AQ52" s="57"/>
      <c r="AR52" s="58">
        <v>1</v>
      </c>
      <c r="AS52" s="59">
        <v>24.016666666837409</v>
      </c>
      <c r="AT52" s="59">
        <v>-122</v>
      </c>
      <c r="AU52" s="59">
        <v>-5.5081967213114753</v>
      </c>
      <c r="AV52" s="65"/>
    </row>
    <row r="53" spans="1:48" x14ac:dyDescent="0.3">
      <c r="A53" s="64"/>
      <c r="B53" s="64">
        <v>202</v>
      </c>
      <c r="C53" s="54">
        <v>626</v>
      </c>
      <c r="D53" s="55">
        <v>0.41666666680248454</v>
      </c>
      <c r="E53" s="55">
        <v>1.2499999998835847</v>
      </c>
      <c r="F53" s="55">
        <v>0.50000000005820766</v>
      </c>
      <c r="G53" s="55">
        <v>1.8333333333721384</v>
      </c>
      <c r="H53" s="55">
        <v>1.5833333332557231</v>
      </c>
      <c r="I53" s="55">
        <v>1.8333333331975155</v>
      </c>
      <c r="J53" s="56">
        <v>12</v>
      </c>
      <c r="K53" s="62">
        <v>0.33333333333333331</v>
      </c>
      <c r="L53" s="60"/>
      <c r="M53" s="60"/>
      <c r="N53" s="55">
        <v>4.8333333331975155</v>
      </c>
      <c r="O53" s="60"/>
      <c r="P53" s="60"/>
      <c r="Q53" s="55">
        <v>1.4166666667442769</v>
      </c>
      <c r="R53" s="55">
        <v>1.3333333333139308</v>
      </c>
      <c r="S53" s="56">
        <v>1.0000000001164153</v>
      </c>
      <c r="T53" s="55">
        <v>1.0000000001164153</v>
      </c>
      <c r="U53" s="60"/>
      <c r="V53" s="63">
        <v>106.08333333333333</v>
      </c>
      <c r="W53" s="60"/>
      <c r="X53" s="63">
        <v>4.083333333333333</v>
      </c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  <c r="AM53" s="60"/>
      <c r="AN53" s="60"/>
      <c r="AO53" s="60"/>
      <c r="AP53" s="60"/>
      <c r="AQ53" s="57"/>
      <c r="AR53" s="61">
        <v>0.30769230769230771</v>
      </c>
      <c r="AS53" s="59">
        <v>109.16666666678307</v>
      </c>
      <c r="AT53" s="59">
        <v>255.08333333333334</v>
      </c>
      <c r="AU53" s="59">
        <v>2.6344331917673958</v>
      </c>
      <c r="AV53" s="65"/>
    </row>
    <row r="54" spans="1:48" hidden="1" x14ac:dyDescent="0.3">
      <c r="A54" s="64"/>
      <c r="B54" s="64">
        <v>202</v>
      </c>
      <c r="C54" s="54">
        <v>627</v>
      </c>
      <c r="D54" s="55">
        <v>0.66666666674427688</v>
      </c>
      <c r="E54" s="55">
        <v>0.95000000012805685</v>
      </c>
      <c r="F54" s="55">
        <v>0.58333333331393078</v>
      </c>
      <c r="G54" s="55">
        <v>1.8333333331975155</v>
      </c>
      <c r="H54" s="56">
        <v>4.5</v>
      </c>
      <c r="I54" s="55">
        <v>1.6666666666860692</v>
      </c>
      <c r="J54" s="56">
        <v>5.1666666665696539</v>
      </c>
      <c r="K54" s="55">
        <v>4.9166666666278616</v>
      </c>
      <c r="L54" s="55">
        <v>0</v>
      </c>
      <c r="M54" s="55">
        <v>0</v>
      </c>
      <c r="N54" s="55">
        <v>4.0833333333721384</v>
      </c>
      <c r="O54" s="55">
        <v>0</v>
      </c>
      <c r="P54" s="55">
        <v>1.9000000000814907</v>
      </c>
      <c r="Q54" s="55">
        <v>0.99999999994179234</v>
      </c>
      <c r="R54" s="55">
        <v>1.5</v>
      </c>
      <c r="S54" s="56">
        <v>1.1833333333488554</v>
      </c>
      <c r="T54" s="55">
        <v>0</v>
      </c>
      <c r="U54" s="55">
        <v>0</v>
      </c>
      <c r="V54" s="55">
        <v>3.5000000000582077</v>
      </c>
      <c r="W54" s="55">
        <v>2.5000000001164153</v>
      </c>
      <c r="X54" s="55">
        <v>3.9999999999417923</v>
      </c>
      <c r="Y54" s="55">
        <v>1.5</v>
      </c>
      <c r="Z54" s="55">
        <v>1.5</v>
      </c>
      <c r="AA54" s="55">
        <v>0</v>
      </c>
      <c r="AB54" s="55">
        <v>6.9666666666744277</v>
      </c>
      <c r="AC54" s="55">
        <v>0</v>
      </c>
      <c r="AD54" s="55">
        <v>0</v>
      </c>
      <c r="AE54" s="55">
        <v>0</v>
      </c>
      <c r="AF54" s="55">
        <v>0.75</v>
      </c>
      <c r="AG54" s="55">
        <v>0.99999999994179234</v>
      </c>
      <c r="AH54" s="55">
        <v>0.99999999994179234</v>
      </c>
      <c r="AI54" s="55">
        <v>1.9999999998835847</v>
      </c>
      <c r="AJ54" s="55">
        <v>2.4999999999417923</v>
      </c>
      <c r="AK54" s="55">
        <v>2.7666666666045785</v>
      </c>
      <c r="AL54" s="55">
        <v>0.75</v>
      </c>
      <c r="AM54" s="55">
        <v>0.75</v>
      </c>
      <c r="AN54" s="56">
        <v>1.0000000001164153</v>
      </c>
      <c r="AO54" s="55">
        <v>0.99999999994179234</v>
      </c>
      <c r="AP54" s="55">
        <v>0.50000000005820766</v>
      </c>
      <c r="AQ54" s="57"/>
      <c r="AR54" s="58">
        <v>1</v>
      </c>
      <c r="AS54" s="59">
        <v>2.8500000000349246</v>
      </c>
      <c r="AT54" s="59">
        <v>-144</v>
      </c>
      <c r="AU54" s="59">
        <v>-4.666666666666667</v>
      </c>
      <c r="AV54" s="65"/>
    </row>
    <row r="55" spans="1:48" x14ac:dyDescent="0.3">
      <c r="A55" s="64"/>
      <c r="B55" s="64">
        <v>203</v>
      </c>
      <c r="C55" s="54">
        <v>628</v>
      </c>
      <c r="D55" s="55">
        <v>0.55000000004656613</v>
      </c>
      <c r="E55" s="55">
        <v>0.99999999994179234</v>
      </c>
      <c r="F55" s="55">
        <v>0.66666666674427688</v>
      </c>
      <c r="G55" s="56">
        <v>3.9833333332207985</v>
      </c>
      <c r="H55" s="56">
        <v>2.0833333333139308</v>
      </c>
      <c r="I55" s="55">
        <v>1.8333333331975155</v>
      </c>
      <c r="J55" s="56">
        <v>13.749999999941792</v>
      </c>
      <c r="K55" s="56">
        <v>33.799999999988358</v>
      </c>
      <c r="L55" s="56">
        <v>22.899999999906868</v>
      </c>
      <c r="M55" s="56">
        <v>22.899999999906868</v>
      </c>
      <c r="N55" s="56">
        <v>6.9666666666744277</v>
      </c>
      <c r="O55" s="60"/>
      <c r="P55" s="56">
        <v>4.0000000001164153</v>
      </c>
      <c r="Q55" s="55">
        <v>1.1666666666278616</v>
      </c>
      <c r="R55" s="60"/>
      <c r="S55" s="60"/>
      <c r="T55" s="56">
        <v>3.2500000001164153</v>
      </c>
      <c r="U55" s="60"/>
      <c r="V55" s="56">
        <v>4.7499999999417923</v>
      </c>
      <c r="W55" s="63">
        <v>40.833333333333336</v>
      </c>
      <c r="X55" s="55">
        <v>3.9999999999417923</v>
      </c>
      <c r="Y55" s="60"/>
      <c r="Z55" s="60"/>
      <c r="AA55" s="55">
        <v>0.75</v>
      </c>
      <c r="AB55" s="55">
        <v>6.9999999999417923</v>
      </c>
      <c r="AC55" s="56">
        <v>4.7499999999417923</v>
      </c>
      <c r="AD55" s="56">
        <v>2.0000000000582077</v>
      </c>
      <c r="AE55" s="60"/>
      <c r="AF55" s="56">
        <v>1.0833333333721384</v>
      </c>
      <c r="AG55" s="55">
        <v>0.75</v>
      </c>
      <c r="AH55" s="55">
        <v>0.99999999994179234</v>
      </c>
      <c r="AI55" s="63">
        <v>20.583333333333332</v>
      </c>
      <c r="AJ55" s="55">
        <v>1.8333333333721384</v>
      </c>
      <c r="AK55" s="55">
        <v>-90.500000000058208</v>
      </c>
      <c r="AL55" s="60"/>
      <c r="AM55" s="60"/>
      <c r="AN55" s="60"/>
      <c r="AO55" s="60"/>
      <c r="AP55" s="60"/>
      <c r="AQ55" s="57"/>
      <c r="AR55" s="61">
        <v>0.64102564102564108</v>
      </c>
      <c r="AS55" s="59">
        <v>133.63333333316649</v>
      </c>
      <c r="AT55" s="59">
        <v>200.08333333333334</v>
      </c>
      <c r="AU55" s="59">
        <v>3.3586005830903791</v>
      </c>
      <c r="AV55" s="65"/>
    </row>
    <row r="56" spans="1:48" hidden="1" x14ac:dyDescent="0.3">
      <c r="A56" s="64"/>
      <c r="B56" s="64">
        <v>203</v>
      </c>
      <c r="C56" s="54">
        <v>629</v>
      </c>
      <c r="D56" s="55">
        <v>1.4000000000232831</v>
      </c>
      <c r="E56" s="55">
        <v>0.75</v>
      </c>
      <c r="F56" s="55">
        <v>0.56666666676755995</v>
      </c>
      <c r="G56" s="55">
        <v>1.4000000000232831</v>
      </c>
      <c r="H56" s="55">
        <v>1.5666666667093523</v>
      </c>
      <c r="I56" s="55">
        <v>1.3833333334769122</v>
      </c>
      <c r="J56" s="55">
        <v>4.8333333331975155</v>
      </c>
      <c r="K56" s="55">
        <v>3.75</v>
      </c>
      <c r="L56" s="56">
        <v>12.500000000058208</v>
      </c>
      <c r="M56" s="56">
        <v>12.500000000058208</v>
      </c>
      <c r="N56" s="56">
        <v>9.1166666665230878</v>
      </c>
      <c r="O56" s="55">
        <v>0</v>
      </c>
      <c r="P56" s="55">
        <v>1.5999999999767169</v>
      </c>
      <c r="Q56" s="55">
        <v>1.2500000000582077</v>
      </c>
      <c r="R56" s="55">
        <v>0.8333333334303461</v>
      </c>
      <c r="S56" s="55">
        <v>0.83333333325572312</v>
      </c>
      <c r="T56" s="55">
        <v>2.0000000000582077</v>
      </c>
      <c r="U56" s="55">
        <v>3.5000000000582077</v>
      </c>
      <c r="V56" s="55">
        <v>2.1666666667442769</v>
      </c>
      <c r="W56" s="55">
        <v>3.8333333334303461</v>
      </c>
      <c r="X56" s="56">
        <v>4.7499999999417923</v>
      </c>
      <c r="Y56" s="55">
        <v>1.1666666668024845</v>
      </c>
      <c r="Z56" s="55">
        <v>1.5</v>
      </c>
      <c r="AA56" s="55">
        <v>0.83333333325572312</v>
      </c>
      <c r="AB56" s="55">
        <v>6.9999999999417923</v>
      </c>
      <c r="AC56" s="55">
        <v>0</v>
      </c>
      <c r="AD56" s="55">
        <v>1.8333333331975155</v>
      </c>
      <c r="AE56" s="55">
        <v>1.78333333338378</v>
      </c>
      <c r="AF56" s="55">
        <v>0</v>
      </c>
      <c r="AG56" s="55">
        <v>0</v>
      </c>
      <c r="AH56" s="55">
        <v>0</v>
      </c>
      <c r="AI56" s="55">
        <v>0</v>
      </c>
      <c r="AJ56" s="55">
        <v>2.0000000000582077</v>
      </c>
      <c r="AK56" s="55">
        <v>1.9999999998835847</v>
      </c>
      <c r="AL56" s="55">
        <v>0.75</v>
      </c>
      <c r="AM56" s="55">
        <v>0.83333333325572312</v>
      </c>
      <c r="AN56" s="56">
        <v>1.0000000001164153</v>
      </c>
      <c r="AO56" s="55">
        <v>0.90000000013969839</v>
      </c>
      <c r="AP56" s="55">
        <v>0.6000000000349246</v>
      </c>
      <c r="AQ56" s="57"/>
      <c r="AR56" s="58">
        <v>1</v>
      </c>
      <c r="AS56" s="59">
        <v>18.866666666697711</v>
      </c>
      <c r="AT56" s="59">
        <v>-76.650000000000006</v>
      </c>
      <c r="AU56" s="59">
        <v>-8.7671232876712324</v>
      </c>
      <c r="AV56" s="65"/>
    </row>
    <row r="57" spans="1:48" x14ac:dyDescent="0.3">
      <c r="A57" s="64"/>
      <c r="B57" s="64">
        <v>203</v>
      </c>
      <c r="C57" s="54">
        <v>630</v>
      </c>
      <c r="D57" s="55">
        <v>0.50000000005820766</v>
      </c>
      <c r="E57" s="55">
        <v>0.83333333325572312</v>
      </c>
      <c r="F57" s="55">
        <v>0.50000000005820766</v>
      </c>
      <c r="G57" s="56">
        <v>3.3333333333721384</v>
      </c>
      <c r="H57" s="56">
        <v>2.4166666666860692</v>
      </c>
      <c r="I57" s="55">
        <v>1.5</v>
      </c>
      <c r="J57" s="56">
        <v>14.400000000139698</v>
      </c>
      <c r="K57" s="56">
        <v>41.783333333325572</v>
      </c>
      <c r="L57" s="56">
        <v>7.3499999998603016</v>
      </c>
      <c r="M57" s="56">
        <v>7.3499999998603016</v>
      </c>
      <c r="N57" s="55">
        <v>3.1666666666860692</v>
      </c>
      <c r="O57" s="55">
        <v>0.38333333336049691</v>
      </c>
      <c r="P57" s="60"/>
      <c r="Q57" s="60"/>
      <c r="R57" s="60"/>
      <c r="S57" s="55">
        <v>0.6666666665696539</v>
      </c>
      <c r="T57" s="60"/>
      <c r="U57" s="63">
        <v>21.416666666666668</v>
      </c>
      <c r="V57" s="55">
        <v>1.8333333331975155</v>
      </c>
      <c r="W57" s="55">
        <v>3</v>
      </c>
      <c r="X57" s="60"/>
      <c r="Y57" s="60"/>
      <c r="Z57" s="60"/>
      <c r="AA57" s="55">
        <v>0.50000000005820766</v>
      </c>
      <c r="AB57" s="55">
        <v>5.5000000001164153</v>
      </c>
      <c r="AC57" s="55">
        <v>0</v>
      </c>
      <c r="AD57" s="60"/>
      <c r="AE57" s="60"/>
      <c r="AF57" s="60"/>
      <c r="AG57" s="60"/>
      <c r="AH57" s="60"/>
      <c r="AI57" s="60"/>
      <c r="AJ57" s="60"/>
      <c r="AK57" s="60"/>
      <c r="AL57" s="60"/>
      <c r="AM57" s="60"/>
      <c r="AN57" s="60"/>
      <c r="AO57" s="60"/>
      <c r="AP57" s="60"/>
      <c r="AQ57" s="57"/>
      <c r="AR57" s="61">
        <v>0.46153846153846156</v>
      </c>
      <c r="AS57" s="59">
        <v>68.049999999910753</v>
      </c>
      <c r="AT57" s="59">
        <v>153.69999999999999</v>
      </c>
      <c r="AU57" s="59">
        <v>4.3721535458685752</v>
      </c>
      <c r="AV57" s="65"/>
    </row>
    <row r="58" spans="1:48" hidden="1" x14ac:dyDescent="0.3">
      <c r="A58" s="64"/>
      <c r="B58" s="64">
        <v>204</v>
      </c>
      <c r="C58" s="54">
        <v>631</v>
      </c>
      <c r="D58" s="55">
        <v>0.58333333331393078</v>
      </c>
      <c r="E58" s="55">
        <v>0.58333333331393078</v>
      </c>
      <c r="F58" s="55">
        <v>0.58333333331393078</v>
      </c>
      <c r="G58" s="55">
        <v>1.7999999999301508</v>
      </c>
      <c r="H58" s="55">
        <v>1.9166666666278616</v>
      </c>
      <c r="I58" s="55">
        <v>0.63333333330228925</v>
      </c>
      <c r="J58" s="55">
        <v>4.1666666668024845</v>
      </c>
      <c r="K58" s="55">
        <v>4.2500000000582077</v>
      </c>
      <c r="L58" s="56">
        <v>5.7666666666045785</v>
      </c>
      <c r="M58" s="56">
        <v>5.7666666666045785</v>
      </c>
      <c r="N58" s="55">
        <v>0</v>
      </c>
      <c r="O58" s="55">
        <v>0.86666666669771075</v>
      </c>
      <c r="P58" s="55">
        <v>1.4666666667326353</v>
      </c>
      <c r="Q58" s="55">
        <v>0.83333333325572312</v>
      </c>
      <c r="R58" s="55">
        <v>0.99999999994179234</v>
      </c>
      <c r="S58" s="55">
        <v>0.66666666674427688</v>
      </c>
      <c r="T58" s="55">
        <v>1.4500000000116415</v>
      </c>
      <c r="U58" s="55">
        <v>0</v>
      </c>
      <c r="V58" s="55">
        <v>3.5000000000582077</v>
      </c>
      <c r="W58" s="55">
        <v>1.5</v>
      </c>
      <c r="X58" s="55">
        <v>3.9999999999417923</v>
      </c>
      <c r="Y58" s="55">
        <v>1.5</v>
      </c>
      <c r="Z58" s="55">
        <v>1.5</v>
      </c>
      <c r="AA58" s="55">
        <v>0.66666666674427688</v>
      </c>
      <c r="AB58" s="55">
        <v>6</v>
      </c>
      <c r="AC58" s="56">
        <v>4.5</v>
      </c>
      <c r="AD58" s="55">
        <v>1.6666666666860692</v>
      </c>
      <c r="AE58" s="55">
        <v>0</v>
      </c>
      <c r="AF58" s="55">
        <v>0.91666666668606922</v>
      </c>
      <c r="AG58" s="55">
        <v>0.75</v>
      </c>
      <c r="AH58" s="55">
        <v>0.75</v>
      </c>
      <c r="AI58" s="55">
        <v>1.5833333332557231</v>
      </c>
      <c r="AJ58" s="55">
        <v>2.0833333333139308</v>
      </c>
      <c r="AK58" s="56">
        <v>3.6666666665696539</v>
      </c>
      <c r="AL58" s="55">
        <v>0</v>
      </c>
      <c r="AM58" s="55">
        <v>0</v>
      </c>
      <c r="AN58" s="55">
        <v>0</v>
      </c>
      <c r="AO58" s="56">
        <v>1.1666666668024845</v>
      </c>
      <c r="AP58" s="55">
        <v>0.51666666677920148</v>
      </c>
      <c r="AQ58" s="57"/>
      <c r="AR58" s="58">
        <v>1</v>
      </c>
      <c r="AS58" s="59">
        <v>2.8666666665812954</v>
      </c>
      <c r="AT58" s="59">
        <v>-94.933333333333337</v>
      </c>
      <c r="AU58" s="59">
        <v>-7.0786516853932584</v>
      </c>
      <c r="AV58" s="65"/>
    </row>
    <row r="59" spans="1:48" x14ac:dyDescent="0.3">
      <c r="A59" s="64"/>
      <c r="B59" s="64">
        <v>204</v>
      </c>
      <c r="C59" s="54">
        <v>632</v>
      </c>
      <c r="D59" s="55">
        <v>0.50000000005820766</v>
      </c>
      <c r="E59" s="55">
        <v>1.4166666667442769</v>
      </c>
      <c r="F59" s="55">
        <v>0.6666666665696539</v>
      </c>
      <c r="G59" s="55">
        <v>0.93333333323244005</v>
      </c>
      <c r="H59" s="56">
        <v>3.9166666666860692</v>
      </c>
      <c r="I59" s="55">
        <v>1.8333333333721384</v>
      </c>
      <c r="J59" s="56">
        <v>73.083333333197515</v>
      </c>
      <c r="K59" s="56">
        <v>71.749999999883585</v>
      </c>
      <c r="L59" s="60"/>
      <c r="M59" s="60"/>
      <c r="N59" s="55">
        <v>2.6666666666278616</v>
      </c>
      <c r="O59" s="60"/>
      <c r="P59" s="55">
        <v>0.66666666674427688</v>
      </c>
      <c r="Q59" s="60"/>
      <c r="R59" s="60"/>
      <c r="S59" s="60"/>
      <c r="T59" s="60"/>
      <c r="U59" s="60"/>
      <c r="V59" s="56">
        <v>6</v>
      </c>
      <c r="W59" s="62">
        <v>3.1666666666666665</v>
      </c>
      <c r="X59" s="55">
        <v>1.2499999998835847</v>
      </c>
      <c r="Y59" s="60"/>
      <c r="Z59" s="55">
        <v>1.6666666666860692</v>
      </c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  <c r="AM59" s="60"/>
      <c r="AN59" s="60"/>
      <c r="AO59" s="60"/>
      <c r="AP59" s="60"/>
      <c r="AQ59" s="57"/>
      <c r="AR59" s="61">
        <v>0.33333333333333331</v>
      </c>
      <c r="AS59" s="59">
        <v>138.74999999976717</v>
      </c>
      <c r="AT59" s="59">
        <v>171.08333333333331</v>
      </c>
      <c r="AU59" s="59">
        <v>3.9279103750608866</v>
      </c>
      <c r="AV59" s="65"/>
    </row>
    <row r="60" spans="1:48" x14ac:dyDescent="0.3">
      <c r="A60" s="64"/>
      <c r="B60" s="64">
        <v>204</v>
      </c>
      <c r="C60" s="54">
        <v>633</v>
      </c>
      <c r="D60" s="55">
        <v>0.50000000005820766</v>
      </c>
      <c r="E60" s="55">
        <v>1.1666666666278616</v>
      </c>
      <c r="F60" s="55">
        <v>0.58333333331393078</v>
      </c>
      <c r="G60" s="55">
        <v>1.9166666668024845</v>
      </c>
      <c r="H60" s="56">
        <v>2.5833333331975155</v>
      </c>
      <c r="I60" s="56">
        <v>2.0000000000582077</v>
      </c>
      <c r="J60" s="55">
        <v>3.7166666665580124</v>
      </c>
      <c r="K60" s="56">
        <v>42.083333333255723</v>
      </c>
      <c r="L60" s="56">
        <v>26.599999999918509</v>
      </c>
      <c r="M60" s="56">
        <v>5.8333333333139308</v>
      </c>
      <c r="N60" s="55">
        <v>4.6666666666860692</v>
      </c>
      <c r="O60" s="55">
        <v>0.99999999994179234</v>
      </c>
      <c r="P60" s="60"/>
      <c r="Q60" s="55">
        <v>0.83333333325572312</v>
      </c>
      <c r="R60" s="55">
        <v>1.5833333332557231</v>
      </c>
      <c r="S60" s="56">
        <v>3.9166666666860692</v>
      </c>
      <c r="T60" s="56">
        <v>3.9166666666860692</v>
      </c>
      <c r="U60" s="55">
        <v>2.4999999999417923</v>
      </c>
      <c r="V60" s="55">
        <v>3.8333333334303461</v>
      </c>
      <c r="W60" s="55">
        <v>3.9666666666744277</v>
      </c>
      <c r="X60" s="56">
        <v>10.03333333338378</v>
      </c>
      <c r="Y60" s="55">
        <v>1.5</v>
      </c>
      <c r="Z60" s="55">
        <v>1.9000000000814907</v>
      </c>
      <c r="AA60" s="55">
        <v>0.41666666662786156</v>
      </c>
      <c r="AB60" s="55">
        <v>6.9833333332207985</v>
      </c>
      <c r="AC60" s="56">
        <v>4.0000000001164153</v>
      </c>
      <c r="AD60" s="60"/>
      <c r="AE60" s="60"/>
      <c r="AF60" s="55">
        <v>0.99999999994179234</v>
      </c>
      <c r="AG60" s="55">
        <v>0.91666666668606922</v>
      </c>
      <c r="AH60" s="56">
        <v>1.5</v>
      </c>
      <c r="AI60" s="55">
        <v>0.91666666668606922</v>
      </c>
      <c r="AJ60" s="55">
        <v>3</v>
      </c>
      <c r="AK60" s="56">
        <v>11.499999999941792</v>
      </c>
      <c r="AL60" s="55">
        <v>0.24999999994179234</v>
      </c>
      <c r="AM60" s="60"/>
      <c r="AN60" s="60"/>
      <c r="AO60" s="60"/>
      <c r="AP60" s="60"/>
      <c r="AQ60" s="57"/>
      <c r="AR60" s="61">
        <v>0.82051282051282048</v>
      </c>
      <c r="AS60" s="59">
        <v>78.966666666558012</v>
      </c>
      <c r="AT60" s="59">
        <v>122.31666666666666</v>
      </c>
      <c r="AU60" s="59">
        <v>5.493936503610847</v>
      </c>
      <c r="AV60" s="65"/>
    </row>
    <row r="61" spans="1:48" x14ac:dyDescent="0.3">
      <c r="A61" s="64"/>
      <c r="B61" s="64">
        <v>205</v>
      </c>
      <c r="C61" s="54">
        <v>634</v>
      </c>
      <c r="D61" s="55">
        <v>0.50000000005820766</v>
      </c>
      <c r="E61" s="55">
        <v>1.0833333333721384</v>
      </c>
      <c r="F61" s="55">
        <v>0.49999999988358468</v>
      </c>
      <c r="G61" s="56">
        <v>2.5000000001164153</v>
      </c>
      <c r="H61" s="56">
        <v>2.25</v>
      </c>
      <c r="I61" s="55">
        <v>1.5</v>
      </c>
      <c r="J61" s="56">
        <v>6.1499999999650754</v>
      </c>
      <c r="K61" s="55">
        <v>4.8333333331975155</v>
      </c>
      <c r="L61" s="56">
        <v>9.2666666666627862</v>
      </c>
      <c r="M61" s="56">
        <v>9.2666666666627862</v>
      </c>
      <c r="N61" s="60"/>
      <c r="O61" s="60"/>
      <c r="P61" s="60"/>
      <c r="Q61" s="55">
        <v>1.5833333334303461</v>
      </c>
      <c r="R61" s="55">
        <v>1.6333333332440816</v>
      </c>
      <c r="S61" s="55">
        <v>0.58333333331393078</v>
      </c>
      <c r="T61" s="56">
        <v>4.1666666666278616</v>
      </c>
      <c r="U61" s="60"/>
      <c r="V61" s="55">
        <v>3.8333333334303461</v>
      </c>
      <c r="W61" s="55">
        <v>2.8333333333139308</v>
      </c>
      <c r="X61" s="56">
        <v>6.5000000000582077</v>
      </c>
      <c r="Y61" s="60"/>
      <c r="Z61" s="60"/>
      <c r="AA61" s="55">
        <v>0.91666666668606922</v>
      </c>
      <c r="AB61" s="63">
        <v>13.583333333333334</v>
      </c>
      <c r="AC61" s="60"/>
      <c r="AD61" s="60"/>
      <c r="AE61" s="60"/>
      <c r="AF61" s="60"/>
      <c r="AG61" s="60"/>
      <c r="AH61" s="60"/>
      <c r="AI61" s="63">
        <v>5.083333333333333</v>
      </c>
      <c r="AJ61" s="60"/>
      <c r="AK61" s="63">
        <v>8.5833333333333339</v>
      </c>
      <c r="AL61" s="60"/>
      <c r="AM61" s="60"/>
      <c r="AN61" s="60"/>
      <c r="AO61" s="60"/>
      <c r="AP61" s="60"/>
      <c r="AQ61" s="57"/>
      <c r="AR61" s="61">
        <v>0.46153846153846156</v>
      </c>
      <c r="AS61" s="59">
        <v>29.350000000093132</v>
      </c>
      <c r="AT61" s="59">
        <v>145.03333333333333</v>
      </c>
      <c r="AU61" s="59">
        <v>4.6334176051482423</v>
      </c>
      <c r="AV61" s="65"/>
    </row>
    <row r="62" spans="1:48" x14ac:dyDescent="0.3">
      <c r="A62" s="64"/>
      <c r="B62" s="64">
        <v>205</v>
      </c>
      <c r="C62" s="54">
        <v>635</v>
      </c>
      <c r="D62" s="55">
        <v>0.50000000005820766</v>
      </c>
      <c r="E62" s="55">
        <v>0.91666666668606922</v>
      </c>
      <c r="F62" s="55">
        <v>0.58333333331393078</v>
      </c>
      <c r="G62" s="55">
        <v>1.8333333331975155</v>
      </c>
      <c r="H62" s="56">
        <v>2.1666666665696539</v>
      </c>
      <c r="I62" s="55">
        <v>1.8333333333721384</v>
      </c>
      <c r="J62" s="56">
        <v>8.3333333334303461</v>
      </c>
      <c r="K62" s="56">
        <v>7.2499999998835847</v>
      </c>
      <c r="L62" s="60"/>
      <c r="M62" s="60"/>
      <c r="N62" s="60"/>
      <c r="O62" s="60"/>
      <c r="P62" s="60"/>
      <c r="Q62" s="55">
        <v>1.0000000001164153</v>
      </c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  <c r="AM62" s="60"/>
      <c r="AN62" s="60"/>
      <c r="AO62" s="60"/>
      <c r="AP62" s="60"/>
      <c r="AQ62" s="57"/>
      <c r="AR62" s="61">
        <v>0.23076923076923078</v>
      </c>
      <c r="AS62" s="59">
        <v>5.7499999998835847</v>
      </c>
      <c r="AT62" s="59">
        <v>164.08333333333331</v>
      </c>
      <c r="AU62" s="59">
        <v>4.0954799390553589</v>
      </c>
      <c r="AV62" s="65"/>
    </row>
    <row r="63" spans="1:48" x14ac:dyDescent="0.3">
      <c r="A63" s="64"/>
      <c r="B63" s="64">
        <v>205</v>
      </c>
      <c r="C63" s="54">
        <v>636</v>
      </c>
      <c r="D63" s="55">
        <v>0.50000000005820766</v>
      </c>
      <c r="E63" s="55">
        <v>1.0999999999185093</v>
      </c>
      <c r="F63" s="55">
        <v>0.61666666675591841</v>
      </c>
      <c r="G63" s="55">
        <v>1.5</v>
      </c>
      <c r="H63" s="55">
        <v>1.9499999998952262</v>
      </c>
      <c r="I63" s="55">
        <v>1.8333333333721384</v>
      </c>
      <c r="J63" s="62">
        <v>4.083333333333333</v>
      </c>
      <c r="K63" s="60"/>
      <c r="L63" s="60"/>
      <c r="M63" s="60"/>
      <c r="N63" s="60"/>
      <c r="O63" s="60"/>
      <c r="P63" s="60"/>
      <c r="Q63" s="55">
        <v>1.3333333333139308</v>
      </c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57"/>
      <c r="AR63" s="61">
        <v>0.17948717948717949</v>
      </c>
      <c r="AS63" s="59">
        <v>0</v>
      </c>
      <c r="AT63" s="59">
        <v>145.08333333333334</v>
      </c>
      <c r="AU63" s="59">
        <v>4.6318207926479031</v>
      </c>
      <c r="AV63" s="65"/>
    </row>
    <row r="64" spans="1:48" x14ac:dyDescent="0.3">
      <c r="A64" s="64"/>
      <c r="B64" s="64">
        <v>206</v>
      </c>
      <c r="C64" s="54">
        <v>637</v>
      </c>
      <c r="D64" s="55">
        <v>0.50000000005820766</v>
      </c>
      <c r="E64" s="55">
        <v>0.83333333325572312</v>
      </c>
      <c r="F64" s="55">
        <v>0.50000000005820766</v>
      </c>
      <c r="G64" s="56">
        <v>2.25</v>
      </c>
      <c r="H64" s="56">
        <v>2.4166666666860692</v>
      </c>
      <c r="I64" s="55">
        <v>1.8333333333721384</v>
      </c>
      <c r="J64" s="63">
        <v>14.75</v>
      </c>
      <c r="K64" s="60"/>
      <c r="L64" s="60"/>
      <c r="M64" s="60"/>
      <c r="N64" s="60"/>
      <c r="O64" s="60"/>
      <c r="P64" s="60"/>
      <c r="Q64" s="55">
        <v>1.1666666668024845</v>
      </c>
      <c r="R64" s="60"/>
      <c r="S64" s="55">
        <v>0.99999999994179234</v>
      </c>
      <c r="T64" s="60"/>
      <c r="U64" s="60"/>
      <c r="V64" s="60"/>
      <c r="W64" s="60"/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  <c r="AM64" s="60"/>
      <c r="AN64" s="60"/>
      <c r="AO64" s="60"/>
      <c r="AP64" s="60"/>
      <c r="AQ64" s="57"/>
      <c r="AR64" s="61">
        <v>0.20512820512820512</v>
      </c>
      <c r="AS64" s="59">
        <v>10.416666666686069</v>
      </c>
      <c r="AT64" s="59">
        <v>144.08333333333334</v>
      </c>
      <c r="AU64" s="59">
        <v>4.6639676113360329</v>
      </c>
      <c r="AV64" s="65"/>
    </row>
    <row r="65" spans="1:48" x14ac:dyDescent="0.3">
      <c r="A65" s="64"/>
      <c r="B65" s="64">
        <v>206</v>
      </c>
      <c r="C65" s="54">
        <v>638</v>
      </c>
      <c r="D65" s="60"/>
      <c r="E65" s="55">
        <v>0.91666666668606922</v>
      </c>
      <c r="F65" s="55">
        <v>0.50000000005820766</v>
      </c>
      <c r="G65" s="56">
        <v>2.7499999998835847</v>
      </c>
      <c r="H65" s="56">
        <v>2.4166666666860692</v>
      </c>
      <c r="I65" s="55">
        <v>1.7499999999417923</v>
      </c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57"/>
      <c r="AR65" s="61">
        <v>0.12820512820512819</v>
      </c>
      <c r="AS65" s="59">
        <v>1.1666666665696539</v>
      </c>
      <c r="AT65" s="59">
        <v>130.08333333333334</v>
      </c>
      <c r="AU65" s="59">
        <v>5.1659192825112106</v>
      </c>
      <c r="AV65" s="65"/>
    </row>
    <row r="66" spans="1:48" x14ac:dyDescent="0.3">
      <c r="B66" s="50">
        <v>206</v>
      </c>
      <c r="C66" s="26">
        <v>642</v>
      </c>
    </row>
  </sheetData>
  <sheetProtection algorithmName="SHA-512" hashValue="gTgXNa3W8vb9tdXB8MWI0Q1MAzPMedi6W3g93eDPacrfbsmsNoHrB6adoX4eHykDIMXUT+jgAZijGu21CG1KMA==" saltValue="/LIKnaecrBgWHPy3t2JyWQ==" spinCount="100000" sheet="1" objects="1" scenarios="1"/>
  <mergeCells count="15">
    <mergeCell ref="P1:X2"/>
    <mergeCell ref="Z1:AH2"/>
    <mergeCell ref="AV4:AV6"/>
    <mergeCell ref="A5:A6"/>
    <mergeCell ref="AT4:AT6"/>
    <mergeCell ref="AU4:AU6"/>
    <mergeCell ref="AQ4:AQ6"/>
    <mergeCell ref="AB4:AE4"/>
    <mergeCell ref="B5:C5"/>
    <mergeCell ref="AF4:AP4"/>
    <mergeCell ref="D4:I4"/>
    <mergeCell ref="J4:T4"/>
    <mergeCell ref="AR4:AR6"/>
    <mergeCell ref="AS4:AS6"/>
    <mergeCell ref="U4:AA4"/>
  </mergeCells>
  <phoneticPr fontId="12" type="noConversion"/>
  <hyperlinks>
    <hyperlink ref="B1" r:id="rId1" xr:uid="{1D1409E9-15CA-4CE7-A59F-8725BA367224}"/>
  </hyperlinks>
  <printOptions horizontalCentered="1" verticalCentered="1"/>
  <pageMargins left="0" right="0" top="0.74803149606299213" bottom="0.74803149606299213" header="0.31496062992125984" footer="0.31496062992125984"/>
  <pageSetup paperSize="8" scale="99" orientation="landscape" r:id="rId2"/>
  <drawing r:id="rId3"/>
  <legacyDrawing r:id="rId4"/>
  <controls>
    <mc:AlternateContent xmlns:mc="http://schemas.openxmlformats.org/markup-compatibility/2006">
      <mc:Choice Requires="x14">
        <control shapeId="1028" r:id="rId5" name="CommandButton2">
          <controlPr defaultSize="0" print="0" autoLine="0" r:id="rId6">
            <anchor>
              <from>
                <xdr:col>7</xdr:col>
                <xdr:colOff>137160</xdr:colOff>
                <xdr:row>0</xdr:row>
                <xdr:rowOff>0</xdr:rowOff>
              </from>
              <to>
                <xdr:col>9</xdr:col>
                <xdr:colOff>266700</xdr:colOff>
                <xdr:row>3</xdr:row>
                <xdr:rowOff>0</xdr:rowOff>
              </to>
            </anchor>
          </controlPr>
        </control>
      </mc:Choice>
      <mc:Fallback>
        <control shapeId="1028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print="0" autoLine="0" r:id="rId8">
            <anchor>
              <from>
                <xdr:col>2</xdr:col>
                <xdr:colOff>289560</xdr:colOff>
                <xdr:row>0</xdr:row>
                <xdr:rowOff>0</xdr:rowOff>
              </from>
              <to>
                <xdr:col>6</xdr:col>
                <xdr:colOff>137160</xdr:colOff>
                <xdr:row>3</xdr:row>
                <xdr:rowOff>7620</xdr:rowOff>
              </to>
            </anchor>
          </controlPr>
        </control>
      </mc:Choice>
      <mc:Fallback>
        <control shapeId="1025" r:id="rId7" name="CommandButton1"/>
      </mc:Fallback>
    </mc:AlternateContent>
    <mc:AlternateContent xmlns:mc="http://schemas.openxmlformats.org/markup-compatibility/2006">
      <mc:Choice Requires="x14">
        <control shapeId="1027" r:id="rId9" name="CommandButton3">
          <controlPr defaultSize="0" print="0" autoLine="0" autoPict="0" r:id="rId10">
            <anchor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152400</xdr:colOff>
                <xdr:row>3</xdr:row>
                <xdr:rowOff>0</xdr:rowOff>
              </to>
            </anchor>
          </controlPr>
        </control>
      </mc:Choice>
      <mc:Fallback>
        <control shapeId="1027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47301-DA7B-4A61-9E11-C0A51E71DEEA}">
  <sheetPr codeName="Sayfa4"/>
  <dimension ref="A1:G2263"/>
  <sheetViews>
    <sheetView topLeftCell="A1615" workbookViewId="0">
      <selection activeCell="A1412" sqref="A1412"/>
    </sheetView>
  </sheetViews>
  <sheetFormatPr defaultRowHeight="14.4" x14ac:dyDescent="0.3"/>
  <cols>
    <col min="2" max="2" width="13.33203125" bestFit="1" customWidth="1"/>
    <col min="3" max="4" width="14.33203125" style="18" bestFit="1" customWidth="1"/>
    <col min="5" max="5" width="10.88671875" style="17" bestFit="1" customWidth="1"/>
    <col min="7" max="7" width="10.109375" bestFit="1" customWidth="1"/>
  </cols>
  <sheetData>
    <row r="1" spans="1:7" x14ac:dyDescent="0.3">
      <c r="A1" t="s">
        <v>46</v>
      </c>
      <c r="B1" t="s">
        <v>175</v>
      </c>
      <c r="C1" s="18" t="s">
        <v>176</v>
      </c>
      <c r="D1" s="18" t="s">
        <v>177</v>
      </c>
      <c r="E1" s="17" t="s">
        <v>178</v>
      </c>
      <c r="G1" s="1">
        <f ca="1">TODAY()</f>
        <v>44676</v>
      </c>
    </row>
    <row r="2" spans="1:7" x14ac:dyDescent="0.3">
      <c r="A2">
        <v>27</v>
      </c>
      <c r="B2" t="s">
        <v>36</v>
      </c>
      <c r="C2" s="1">
        <v>44532.416666666664</v>
      </c>
      <c r="D2" s="1"/>
      <c r="E2" s="17">
        <f ca="1">IF(Tablo2[[#This Row],[Başlangıç]]="","",(IF(Tablo2[[#This Row],[Bitiş]]="",($G$1-Tablo2[[#This Row],[Başlangıç]])*24,(Tablo2[[#This Row],[Bitiş]]-Tablo2[[#This Row],[Başlangıç]])*24)))</f>
        <v>3446.0000000000582</v>
      </c>
    </row>
    <row r="3" spans="1:7" x14ac:dyDescent="0.3">
      <c r="A3">
        <v>27</v>
      </c>
      <c r="B3" t="s">
        <v>84</v>
      </c>
      <c r="C3" s="1"/>
      <c r="D3" s="1"/>
      <c r="E3" s="17" t="str">
        <f>IF(Tablo2[[#This Row],[Başlangıç]]="","",(IF(Tablo2[[#This Row],[Bitiş]]="",($G$1-Tablo2[[#This Row],[Başlangıç]])*24,(Tablo2[[#This Row],[Bitiş]]-Tablo2[[#This Row],[Başlangıç]])*24)))</f>
        <v/>
      </c>
    </row>
    <row r="4" spans="1:7" x14ac:dyDescent="0.3">
      <c r="A4">
        <v>27</v>
      </c>
      <c r="B4" t="s">
        <v>179</v>
      </c>
      <c r="C4" s="1">
        <v>44532.416666666664</v>
      </c>
      <c r="D4" s="1">
        <v>44532.4375</v>
      </c>
      <c r="E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" spans="1:7" x14ac:dyDescent="0.3">
      <c r="A5">
        <v>27</v>
      </c>
      <c r="B5" t="s">
        <v>68</v>
      </c>
      <c r="C5" s="1"/>
      <c r="D5" s="1"/>
      <c r="E5" s="17" t="str">
        <f>IF(Tablo2[[#This Row],[Başlangıç]]="","",(IF(Tablo2[[#This Row],[Bitiş]]="",($G$1-Tablo2[[#This Row],[Başlangıç]])*24,(Tablo2[[#This Row],[Bitiş]]-Tablo2[[#This Row],[Başlangıç]])*24)))</f>
        <v/>
      </c>
    </row>
    <row r="6" spans="1:7" x14ac:dyDescent="0.3">
      <c r="A6">
        <v>27</v>
      </c>
      <c r="B6" t="s">
        <v>37</v>
      </c>
      <c r="C6" s="1">
        <v>44533.097222222219</v>
      </c>
      <c r="D6" s="1">
        <v>44533.142361111109</v>
      </c>
      <c r="E6" s="17">
        <f>IF(Tablo2[[#This Row],[Başlangıç]]="","",(IF(Tablo2[[#This Row],[Bitiş]]="",($G$1-Tablo2[[#This Row],[Başlangıç]])*24,(Tablo2[[#This Row],[Bitiş]]-Tablo2[[#This Row],[Başlangıç]])*24)))</f>
        <v>1.0833333333721384</v>
      </c>
    </row>
    <row r="7" spans="1:7" x14ac:dyDescent="0.3">
      <c r="A7">
        <v>27</v>
      </c>
      <c r="B7" t="s">
        <v>65</v>
      </c>
      <c r="C7" s="1"/>
      <c r="D7" s="1"/>
      <c r="E7" s="17" t="str">
        <f>IF(Tablo2[[#This Row],[Başlangıç]]="","",(IF(Tablo2[[#This Row],[Bitiş]]="",($G$1-Tablo2[[#This Row],[Başlangıç]])*24,(Tablo2[[#This Row],[Bitiş]]-Tablo2[[#This Row],[Başlangıç]])*24)))</f>
        <v/>
      </c>
    </row>
    <row r="8" spans="1:7" x14ac:dyDescent="0.3">
      <c r="A8">
        <v>194</v>
      </c>
      <c r="B8" t="s">
        <v>36</v>
      </c>
      <c r="C8" s="1">
        <v>44436.833333333336</v>
      </c>
      <c r="D8" s="1"/>
      <c r="E8" s="17">
        <f ca="1">IF(Tablo2[[#This Row],[Başlangıç]]="","",(IF(Tablo2[[#This Row],[Bitiş]]="",($G$1-Tablo2[[#This Row],[Başlangıç]])*24,(Tablo2[[#This Row],[Bitiş]]-Tablo2[[#This Row],[Başlangıç]])*24)))</f>
        <v>5739.9999999999418</v>
      </c>
    </row>
    <row r="9" spans="1:7" x14ac:dyDescent="0.3">
      <c r="A9">
        <v>194</v>
      </c>
      <c r="B9" t="s">
        <v>84</v>
      </c>
      <c r="C9" s="1">
        <v>44436.833333333336</v>
      </c>
      <c r="D9" s="1"/>
      <c r="E9" s="17">
        <f ca="1">IF(Tablo2[[#This Row],[Başlangıç]]="","",(IF(Tablo2[[#This Row],[Bitiş]]="",($G$1-Tablo2[[#This Row],[Başlangıç]])*24,(Tablo2[[#This Row],[Bitiş]]-Tablo2[[#This Row],[Başlangıç]])*24)))</f>
        <v>5739.9999999999418</v>
      </c>
    </row>
    <row r="10" spans="1:7" x14ac:dyDescent="0.3">
      <c r="A10">
        <v>194</v>
      </c>
      <c r="B10" t="s">
        <v>179</v>
      </c>
      <c r="C10" s="1">
        <v>44436.833333333336</v>
      </c>
      <c r="D10" s="1">
        <v>44436.854166666664</v>
      </c>
      <c r="E1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" spans="1:7" x14ac:dyDescent="0.3">
      <c r="A11">
        <v>194</v>
      </c>
      <c r="B11" t="s">
        <v>68</v>
      </c>
      <c r="C11" s="1">
        <v>44436.833333333336</v>
      </c>
      <c r="D11" s="1"/>
      <c r="E11" s="17">
        <f ca="1">IF(Tablo2[[#This Row],[Başlangıç]]="","",(IF(Tablo2[[#This Row],[Bitiş]]="",($G$1-Tablo2[[#This Row],[Başlangıç]])*24,(Tablo2[[#This Row],[Bitiş]]-Tablo2[[#This Row],[Başlangıç]])*24)))</f>
        <v>5739.9999999999418</v>
      </c>
    </row>
    <row r="12" spans="1:7" x14ac:dyDescent="0.3">
      <c r="A12">
        <v>194</v>
      </c>
      <c r="B12" t="s">
        <v>37</v>
      </c>
      <c r="C12" s="1">
        <v>44436.833333333336</v>
      </c>
      <c r="D12" s="1">
        <v>44439.5</v>
      </c>
      <c r="E12" s="17">
        <f>IF(Tablo2[[#This Row],[Başlangıç]]="","",(IF(Tablo2[[#This Row],[Bitiş]]="",($G$1-Tablo2[[#This Row],[Başlangıç]])*24,(Tablo2[[#This Row],[Bitiş]]-Tablo2[[#This Row],[Başlangıç]])*24)))</f>
        <v>63.999999999941792</v>
      </c>
    </row>
    <row r="13" spans="1:7" x14ac:dyDescent="0.3">
      <c r="A13">
        <v>194</v>
      </c>
      <c r="B13" t="s">
        <v>65</v>
      </c>
      <c r="C13" s="1">
        <v>44436.833333333336</v>
      </c>
      <c r="D13" s="1"/>
      <c r="E13" s="17">
        <f ca="1">IF(Tablo2[[#This Row],[Başlangıç]]="","",(IF(Tablo2[[#This Row],[Bitiş]]="",($G$1-Tablo2[[#This Row],[Başlangıç]])*24,(Tablo2[[#This Row],[Bitiş]]-Tablo2[[#This Row],[Başlangıç]])*24)))</f>
        <v>5739.9999999999418</v>
      </c>
    </row>
    <row r="14" spans="1:7" x14ac:dyDescent="0.3">
      <c r="A14">
        <v>195</v>
      </c>
      <c r="B14" t="s">
        <v>36</v>
      </c>
      <c r="C14" s="1"/>
      <c r="D14" s="1"/>
      <c r="E14" s="17" t="str">
        <f>IF(Tablo2[[#This Row],[Başlangıç]]="","",(IF(Tablo2[[#This Row],[Bitiş]]="",($G$1-Tablo2[[#This Row],[Başlangıç]])*24,(Tablo2[[#This Row],[Bitiş]]-Tablo2[[#This Row],[Başlangıç]])*24)))</f>
        <v/>
      </c>
    </row>
    <row r="15" spans="1:7" x14ac:dyDescent="0.3">
      <c r="A15">
        <v>195</v>
      </c>
      <c r="B15" t="s">
        <v>84</v>
      </c>
      <c r="C15" s="1"/>
      <c r="D15" s="1"/>
      <c r="E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6" spans="1:7" x14ac:dyDescent="0.3">
      <c r="A16">
        <v>195</v>
      </c>
      <c r="B16" t="s">
        <v>179</v>
      </c>
      <c r="C16" s="1">
        <v>44411.322916666664</v>
      </c>
      <c r="D16" s="1">
        <v>44411.34375</v>
      </c>
      <c r="E1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" spans="1:5" x14ac:dyDescent="0.3">
      <c r="A17">
        <v>195</v>
      </c>
      <c r="B17" t="s">
        <v>68</v>
      </c>
      <c r="C17" s="1"/>
      <c r="D17" s="1"/>
      <c r="E17" s="17" t="str">
        <f>IF(Tablo2[[#This Row],[Başlangıç]]="","",(IF(Tablo2[[#This Row],[Bitiş]]="",($G$1-Tablo2[[#This Row],[Başlangıç]])*24,(Tablo2[[#This Row],[Bitiş]]-Tablo2[[#This Row],[Başlangıç]])*24)))</f>
        <v/>
      </c>
    </row>
    <row r="18" spans="1:5" x14ac:dyDescent="0.3">
      <c r="A18">
        <v>195</v>
      </c>
      <c r="B18" t="s">
        <v>37</v>
      </c>
      <c r="C18" s="1"/>
      <c r="D18" s="1"/>
      <c r="E18" s="17" t="str">
        <f>IF(Tablo2[[#This Row],[Başlangıç]]="","",(IF(Tablo2[[#This Row],[Bitiş]]="",($G$1-Tablo2[[#This Row],[Başlangıç]])*24,(Tablo2[[#This Row],[Bitiş]]-Tablo2[[#This Row],[Başlangıç]])*24)))</f>
        <v/>
      </c>
    </row>
    <row r="19" spans="1:5" x14ac:dyDescent="0.3">
      <c r="A19">
        <v>195</v>
      </c>
      <c r="B19" t="s">
        <v>65</v>
      </c>
      <c r="C19" s="1"/>
      <c r="D19" s="1"/>
      <c r="E19" s="17" t="str">
        <f>IF(Tablo2[[#This Row],[Başlangıç]]="","",(IF(Tablo2[[#This Row],[Bitiş]]="",($G$1-Tablo2[[#This Row],[Başlangıç]])*24,(Tablo2[[#This Row],[Bitiş]]-Tablo2[[#This Row],[Başlangıç]])*24)))</f>
        <v/>
      </c>
    </row>
    <row r="20" spans="1:5" x14ac:dyDescent="0.3">
      <c r="A20">
        <v>196</v>
      </c>
      <c r="B20" t="s">
        <v>36</v>
      </c>
      <c r="C20" s="1">
        <v>44411.758333333331</v>
      </c>
      <c r="D20" s="1">
        <v>44411.779166666667</v>
      </c>
      <c r="E2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" spans="1:5" x14ac:dyDescent="0.3">
      <c r="A21">
        <v>196</v>
      </c>
      <c r="B21" t="s">
        <v>84</v>
      </c>
      <c r="C21" s="1">
        <v>44411.758333333331</v>
      </c>
      <c r="D21" s="1">
        <v>44439.916666666664</v>
      </c>
      <c r="E21" s="17">
        <f>IF(Tablo2[[#This Row],[Başlangıç]]="","",(IF(Tablo2[[#This Row],[Bitiş]]="",($G$1-Tablo2[[#This Row],[Başlangıç]])*24,(Tablo2[[#This Row],[Bitiş]]-Tablo2[[#This Row],[Başlangıç]])*24)))</f>
        <v>675.79999999998836</v>
      </c>
    </row>
    <row r="22" spans="1:5" x14ac:dyDescent="0.3">
      <c r="A22">
        <v>196</v>
      </c>
      <c r="B22" t="s">
        <v>179</v>
      </c>
      <c r="C22" s="1">
        <v>44411.758333333331</v>
      </c>
      <c r="D22" s="1">
        <v>44411.779166666667</v>
      </c>
      <c r="E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3" spans="1:5" x14ac:dyDescent="0.3">
      <c r="A23">
        <v>196</v>
      </c>
      <c r="B23" t="s">
        <v>68</v>
      </c>
      <c r="C23" s="1">
        <v>44441.041666666664</v>
      </c>
      <c r="D23" s="1">
        <v>44443.965277777781</v>
      </c>
      <c r="E23" s="17">
        <f>IF(Tablo2[[#This Row],[Başlangıç]]="","",(IF(Tablo2[[#This Row],[Bitiş]]="",($G$1-Tablo2[[#This Row],[Başlangıç]])*24,(Tablo2[[#This Row],[Bitiş]]-Tablo2[[#This Row],[Başlangıç]])*24)))</f>
        <v>70.166666666802485</v>
      </c>
    </row>
    <row r="24" spans="1:5" x14ac:dyDescent="0.3">
      <c r="A24">
        <v>196</v>
      </c>
      <c r="B24" t="s">
        <v>37</v>
      </c>
      <c r="C24" s="1">
        <v>44411.758333333331</v>
      </c>
      <c r="D24" s="1">
        <v>44440.541666666664</v>
      </c>
      <c r="E24" s="17">
        <f>IF(Tablo2[[#This Row],[Başlangıç]]="","",(IF(Tablo2[[#This Row],[Bitiş]]="",($G$1-Tablo2[[#This Row],[Başlangıç]])*24,(Tablo2[[#This Row],[Bitiş]]-Tablo2[[#This Row],[Başlangıç]])*24)))</f>
        <v>690.79999999998836</v>
      </c>
    </row>
    <row r="25" spans="1:5" x14ac:dyDescent="0.3">
      <c r="A25">
        <v>196</v>
      </c>
      <c r="B25" t="s">
        <v>65</v>
      </c>
      <c r="C25" s="1">
        <v>44411.758333333331</v>
      </c>
      <c r="D25" s="1">
        <v>44440.541666666664</v>
      </c>
      <c r="E25" s="17">
        <f>IF(Tablo2[[#This Row],[Başlangıç]]="","",(IF(Tablo2[[#This Row],[Bitiş]]="",($G$1-Tablo2[[#This Row],[Başlangıç]])*24,(Tablo2[[#This Row],[Bitiş]]-Tablo2[[#This Row],[Başlangıç]])*24)))</f>
        <v>690.79999999998836</v>
      </c>
    </row>
    <row r="26" spans="1:5" x14ac:dyDescent="0.3">
      <c r="A26">
        <v>197</v>
      </c>
      <c r="B26" t="s">
        <v>36</v>
      </c>
      <c r="C26" s="1">
        <v>44412.25</v>
      </c>
      <c r="D26" s="1">
        <v>44412.270833333336</v>
      </c>
      <c r="E2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7" spans="1:5" x14ac:dyDescent="0.3">
      <c r="A27">
        <v>197</v>
      </c>
      <c r="B27" t="s">
        <v>84</v>
      </c>
      <c r="C27" s="1">
        <v>44440.8125</v>
      </c>
      <c r="D27" s="1">
        <v>44444.333333333336</v>
      </c>
      <c r="E27" s="17">
        <f>IF(Tablo2[[#This Row],[Başlangıç]]="","",(IF(Tablo2[[#This Row],[Bitiş]]="",($G$1-Tablo2[[#This Row],[Başlangıç]])*24,(Tablo2[[#This Row],[Bitiş]]-Tablo2[[#This Row],[Başlangıç]])*24)))</f>
        <v>84.500000000058208</v>
      </c>
    </row>
    <row r="28" spans="1:5" x14ac:dyDescent="0.3">
      <c r="A28">
        <v>197</v>
      </c>
      <c r="B28" t="s">
        <v>179</v>
      </c>
      <c r="C28" s="1">
        <v>44412.25</v>
      </c>
      <c r="D28" s="1">
        <v>44443.6875</v>
      </c>
      <c r="E28" s="17">
        <f>IF(Tablo2[[#This Row],[Başlangıç]]="","",(IF(Tablo2[[#This Row],[Bitiş]]="",($G$1-Tablo2[[#This Row],[Başlangıç]])*24,(Tablo2[[#This Row],[Bitiş]]-Tablo2[[#This Row],[Başlangıç]])*24)))</f>
        <v>754.5</v>
      </c>
    </row>
    <row r="29" spans="1:5" x14ac:dyDescent="0.3">
      <c r="A29">
        <v>197</v>
      </c>
      <c r="B29" t="s">
        <v>68</v>
      </c>
      <c r="C29" s="1">
        <v>44441.324999999997</v>
      </c>
      <c r="D29" s="1">
        <v>44443.6875</v>
      </c>
      <c r="E29" s="17">
        <f>IF(Tablo2[[#This Row],[Başlangıç]]="","",(IF(Tablo2[[#This Row],[Bitiş]]="",($G$1-Tablo2[[#This Row],[Başlangıç]])*24,(Tablo2[[#This Row],[Bitiş]]-Tablo2[[#This Row],[Başlangıç]])*24)))</f>
        <v>56.700000000069849</v>
      </c>
    </row>
    <row r="30" spans="1:5" x14ac:dyDescent="0.3">
      <c r="A30">
        <v>197</v>
      </c>
      <c r="B30" t="s">
        <v>37</v>
      </c>
      <c r="C30" s="1">
        <v>44412.25</v>
      </c>
      <c r="D30" s="1">
        <v>44412.270833333336</v>
      </c>
      <c r="E3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1" spans="1:5" x14ac:dyDescent="0.3">
      <c r="A31">
        <v>197</v>
      </c>
      <c r="B31" t="s">
        <v>65</v>
      </c>
      <c r="C31" s="1">
        <v>44439.673611111109</v>
      </c>
      <c r="D31" s="1">
        <v>44440.541666666664</v>
      </c>
      <c r="E31" s="17">
        <f>IF(Tablo2[[#This Row],[Başlangıç]]="","",(IF(Tablo2[[#This Row],[Bitiş]]="",($G$1-Tablo2[[#This Row],[Başlangıç]])*24,(Tablo2[[#This Row],[Bitiş]]-Tablo2[[#This Row],[Başlangıç]])*24)))</f>
        <v>20.833333333313931</v>
      </c>
    </row>
    <row r="32" spans="1:5" x14ac:dyDescent="0.3">
      <c r="A32">
        <v>198</v>
      </c>
      <c r="B32" t="s">
        <v>36</v>
      </c>
      <c r="C32" s="1"/>
      <c r="D32" s="1"/>
      <c r="E32" s="17" t="str">
        <f>IF(Tablo2[[#This Row],[Başlangıç]]="","",(IF(Tablo2[[#This Row],[Bitiş]]="",($G$1-Tablo2[[#This Row],[Başlangıç]])*24,(Tablo2[[#This Row],[Bitiş]]-Tablo2[[#This Row],[Başlangıç]])*24)))</f>
        <v/>
      </c>
    </row>
    <row r="33" spans="1:5" x14ac:dyDescent="0.3">
      <c r="A33">
        <v>198</v>
      </c>
      <c r="B33" t="s">
        <v>84</v>
      </c>
      <c r="C33" s="1"/>
      <c r="D33" s="1"/>
      <c r="E33" s="17" t="str">
        <f>IF(Tablo2[[#This Row],[Başlangıç]]="","",(IF(Tablo2[[#This Row],[Bitiş]]="",($G$1-Tablo2[[#This Row],[Başlangıç]])*24,(Tablo2[[#This Row],[Bitiş]]-Tablo2[[#This Row],[Başlangıç]])*24)))</f>
        <v/>
      </c>
    </row>
    <row r="34" spans="1:5" x14ac:dyDescent="0.3">
      <c r="A34">
        <v>198</v>
      </c>
      <c r="B34" t="s">
        <v>179</v>
      </c>
      <c r="C34" s="1">
        <v>44412.770833333336</v>
      </c>
      <c r="D34" s="1">
        <v>44412.791666666664</v>
      </c>
      <c r="E3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5" spans="1:5" x14ac:dyDescent="0.3">
      <c r="A35">
        <v>198</v>
      </c>
      <c r="B35" t="s">
        <v>68</v>
      </c>
      <c r="C35" s="1"/>
      <c r="D35" s="1"/>
      <c r="E35" s="17" t="str">
        <f>IF(Tablo2[[#This Row],[Başlangıç]]="","",(IF(Tablo2[[#This Row],[Bitiş]]="",($G$1-Tablo2[[#This Row],[Başlangıç]])*24,(Tablo2[[#This Row],[Bitiş]]-Tablo2[[#This Row],[Başlangıç]])*24)))</f>
        <v/>
      </c>
    </row>
    <row r="36" spans="1:5" x14ac:dyDescent="0.3">
      <c r="A36">
        <v>198</v>
      </c>
      <c r="B36" t="s">
        <v>37</v>
      </c>
      <c r="C36" s="1"/>
      <c r="D36" s="1"/>
      <c r="E36" s="17" t="str">
        <f>IF(Tablo2[[#This Row],[Başlangıç]]="","",(IF(Tablo2[[#This Row],[Bitiş]]="",($G$1-Tablo2[[#This Row],[Başlangıç]])*24,(Tablo2[[#This Row],[Bitiş]]-Tablo2[[#This Row],[Başlangıç]])*24)))</f>
        <v/>
      </c>
    </row>
    <row r="37" spans="1:5" x14ac:dyDescent="0.3">
      <c r="A37">
        <v>198</v>
      </c>
      <c r="B37" t="s">
        <v>65</v>
      </c>
      <c r="C37" s="1"/>
      <c r="D37" s="1"/>
      <c r="E37" s="17" t="str">
        <f>IF(Tablo2[[#This Row],[Başlangıç]]="","",(IF(Tablo2[[#This Row],[Bitiş]]="",($G$1-Tablo2[[#This Row],[Başlangıç]])*24,(Tablo2[[#This Row],[Bitiş]]-Tablo2[[#This Row],[Başlangıç]])*24)))</f>
        <v/>
      </c>
    </row>
    <row r="38" spans="1:5" x14ac:dyDescent="0.3">
      <c r="A38">
        <v>199</v>
      </c>
      <c r="B38" t="s">
        <v>36</v>
      </c>
      <c r="C38" s="1"/>
      <c r="D38" s="1"/>
      <c r="E38" s="17" t="str">
        <f>IF(Tablo2[[#This Row],[Başlangıç]]="","",(IF(Tablo2[[#This Row],[Bitiş]]="",($G$1-Tablo2[[#This Row],[Başlangıç]])*24,(Tablo2[[#This Row],[Bitiş]]-Tablo2[[#This Row],[Başlangıç]])*24)))</f>
        <v/>
      </c>
    </row>
    <row r="39" spans="1:5" x14ac:dyDescent="0.3">
      <c r="A39">
        <v>199</v>
      </c>
      <c r="B39" t="s">
        <v>84</v>
      </c>
      <c r="C39" s="1"/>
      <c r="D39" s="1"/>
      <c r="E39" s="17" t="str">
        <f>IF(Tablo2[[#This Row],[Başlangıç]]="","",(IF(Tablo2[[#This Row],[Bitiş]]="",($G$1-Tablo2[[#This Row],[Başlangıç]])*24,(Tablo2[[#This Row],[Bitiş]]-Tablo2[[#This Row],[Başlangıç]])*24)))</f>
        <v/>
      </c>
    </row>
    <row r="40" spans="1:5" x14ac:dyDescent="0.3">
      <c r="A40">
        <v>199</v>
      </c>
      <c r="B40" t="s">
        <v>179</v>
      </c>
      <c r="C40" s="1">
        <v>44413.3</v>
      </c>
      <c r="D40" s="1">
        <v>44413.320833333331</v>
      </c>
      <c r="E4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1" spans="1:5" x14ac:dyDescent="0.3">
      <c r="A41">
        <v>199</v>
      </c>
      <c r="B41" t="s">
        <v>68</v>
      </c>
      <c r="C41" s="1"/>
      <c r="D41" s="1"/>
      <c r="E41" s="17" t="str">
        <f>IF(Tablo2[[#This Row],[Başlangıç]]="","",(IF(Tablo2[[#This Row],[Bitiş]]="",($G$1-Tablo2[[#This Row],[Başlangıç]])*24,(Tablo2[[#This Row],[Bitiş]]-Tablo2[[#This Row],[Başlangıç]])*24)))</f>
        <v/>
      </c>
    </row>
    <row r="42" spans="1:5" x14ac:dyDescent="0.3">
      <c r="A42">
        <v>199</v>
      </c>
      <c r="B42" t="s">
        <v>37</v>
      </c>
      <c r="C42" s="1"/>
      <c r="D42" s="1"/>
      <c r="E42" s="17" t="str">
        <f>IF(Tablo2[[#This Row],[Başlangıç]]="","",(IF(Tablo2[[#This Row],[Bitiş]]="",($G$1-Tablo2[[#This Row],[Başlangıç]])*24,(Tablo2[[#This Row],[Bitiş]]-Tablo2[[#This Row],[Başlangıç]])*24)))</f>
        <v/>
      </c>
    </row>
    <row r="43" spans="1:5" x14ac:dyDescent="0.3">
      <c r="A43">
        <v>199</v>
      </c>
      <c r="B43" t="s">
        <v>65</v>
      </c>
      <c r="C43" s="1"/>
      <c r="D43" s="1"/>
      <c r="E43" s="17" t="str">
        <f>IF(Tablo2[[#This Row],[Başlangıç]]="","",(IF(Tablo2[[#This Row],[Bitiş]]="",($G$1-Tablo2[[#This Row],[Başlangıç]])*24,(Tablo2[[#This Row],[Bitiş]]-Tablo2[[#This Row],[Başlangıç]])*24)))</f>
        <v/>
      </c>
    </row>
    <row r="44" spans="1:5" x14ac:dyDescent="0.3">
      <c r="A44">
        <v>200</v>
      </c>
      <c r="B44" t="s">
        <v>36</v>
      </c>
      <c r="C44" s="1"/>
      <c r="D44" s="1"/>
      <c r="E44" s="17" t="str">
        <f>IF(Tablo2[[#This Row],[Başlangıç]]="","",(IF(Tablo2[[#This Row],[Bitiş]]="",($G$1-Tablo2[[#This Row],[Başlangıç]])*24,(Tablo2[[#This Row],[Bitiş]]-Tablo2[[#This Row],[Başlangıç]])*24)))</f>
        <v/>
      </c>
    </row>
    <row r="45" spans="1:5" x14ac:dyDescent="0.3">
      <c r="A45">
        <v>200</v>
      </c>
      <c r="B45" t="s">
        <v>84</v>
      </c>
      <c r="C45" s="1"/>
      <c r="D45" s="1"/>
      <c r="E45" s="17" t="str">
        <f>IF(Tablo2[[#This Row],[Başlangıç]]="","",(IF(Tablo2[[#This Row],[Bitiş]]="",($G$1-Tablo2[[#This Row],[Başlangıç]])*24,(Tablo2[[#This Row],[Bitiş]]-Tablo2[[#This Row],[Başlangıç]])*24)))</f>
        <v/>
      </c>
    </row>
    <row r="46" spans="1:5" x14ac:dyDescent="0.3">
      <c r="A46">
        <v>200</v>
      </c>
      <c r="B46" t="s">
        <v>179</v>
      </c>
      <c r="C46" s="1">
        <v>44413.864583333336</v>
      </c>
      <c r="D46" s="1">
        <v>44413.885416666664</v>
      </c>
      <c r="E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7" spans="1:5" x14ac:dyDescent="0.3">
      <c r="A47">
        <v>200</v>
      </c>
      <c r="B47" t="s">
        <v>68</v>
      </c>
      <c r="C47" s="1"/>
      <c r="D47" s="1"/>
      <c r="E47" s="17" t="str">
        <f>IF(Tablo2[[#This Row],[Başlangıç]]="","",(IF(Tablo2[[#This Row],[Bitiş]]="",($G$1-Tablo2[[#This Row],[Başlangıç]])*24,(Tablo2[[#This Row],[Bitiş]]-Tablo2[[#This Row],[Başlangıç]])*24)))</f>
        <v/>
      </c>
    </row>
    <row r="48" spans="1:5" x14ac:dyDescent="0.3">
      <c r="A48">
        <v>200</v>
      </c>
      <c r="B48" t="s">
        <v>37</v>
      </c>
      <c r="C48" s="1"/>
      <c r="D48" s="1"/>
      <c r="E48" s="17" t="str">
        <f>IF(Tablo2[[#This Row],[Başlangıç]]="","",(IF(Tablo2[[#This Row],[Bitiş]]="",($G$1-Tablo2[[#This Row],[Başlangıç]])*24,(Tablo2[[#This Row],[Bitiş]]-Tablo2[[#This Row],[Başlangıç]])*24)))</f>
        <v/>
      </c>
    </row>
    <row r="49" spans="1:5" x14ac:dyDescent="0.3">
      <c r="A49">
        <v>200</v>
      </c>
      <c r="B49" t="s">
        <v>65</v>
      </c>
      <c r="C49" s="1"/>
      <c r="D49" s="1"/>
      <c r="E49" s="17" t="str">
        <f>IF(Tablo2[[#This Row],[Başlangıç]]="","",(IF(Tablo2[[#This Row],[Bitiş]]="",($G$1-Tablo2[[#This Row],[Başlangıç]])*24,(Tablo2[[#This Row],[Bitiş]]-Tablo2[[#This Row],[Başlangıç]])*24)))</f>
        <v/>
      </c>
    </row>
    <row r="50" spans="1:5" x14ac:dyDescent="0.3">
      <c r="A50">
        <v>201</v>
      </c>
      <c r="B50" t="s">
        <v>36</v>
      </c>
      <c r="C50" s="1"/>
      <c r="D50" s="1"/>
      <c r="E50" s="17" t="str">
        <f>IF(Tablo2[[#This Row],[Başlangıç]]="","",(IF(Tablo2[[#This Row],[Bitiş]]="",($G$1-Tablo2[[#This Row],[Başlangıç]])*24,(Tablo2[[#This Row],[Bitiş]]-Tablo2[[#This Row],[Başlangıç]])*24)))</f>
        <v/>
      </c>
    </row>
    <row r="51" spans="1:5" x14ac:dyDescent="0.3">
      <c r="A51">
        <v>201</v>
      </c>
      <c r="B51" t="s">
        <v>84</v>
      </c>
      <c r="C51" s="1"/>
      <c r="D51" s="1"/>
      <c r="E51" s="17" t="str">
        <f>IF(Tablo2[[#This Row],[Başlangıç]]="","",(IF(Tablo2[[#This Row],[Bitiş]]="",($G$1-Tablo2[[#This Row],[Başlangıç]])*24,(Tablo2[[#This Row],[Bitiş]]-Tablo2[[#This Row],[Başlangıç]])*24)))</f>
        <v/>
      </c>
    </row>
    <row r="52" spans="1:5" x14ac:dyDescent="0.3">
      <c r="A52">
        <v>201</v>
      </c>
      <c r="B52" t="s">
        <v>179</v>
      </c>
      <c r="C52" s="1">
        <v>44414.666666666664</v>
      </c>
      <c r="D52" s="1">
        <v>44414.6875</v>
      </c>
      <c r="E5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3" spans="1:5" x14ac:dyDescent="0.3">
      <c r="A53">
        <v>201</v>
      </c>
      <c r="B53" t="s">
        <v>68</v>
      </c>
      <c r="C53" s="1"/>
      <c r="D53" s="1"/>
      <c r="E53" s="17" t="str">
        <f>IF(Tablo2[[#This Row],[Başlangıç]]="","",(IF(Tablo2[[#This Row],[Bitiş]]="",($G$1-Tablo2[[#This Row],[Başlangıç]])*24,(Tablo2[[#This Row],[Bitiş]]-Tablo2[[#This Row],[Başlangıç]])*24)))</f>
        <v/>
      </c>
    </row>
    <row r="54" spans="1:5" x14ac:dyDescent="0.3">
      <c r="A54">
        <v>201</v>
      </c>
      <c r="B54" t="s">
        <v>37</v>
      </c>
      <c r="C54" s="1"/>
      <c r="D54" s="1"/>
      <c r="E54" s="17" t="str">
        <f>IF(Tablo2[[#This Row],[Başlangıç]]="","",(IF(Tablo2[[#This Row],[Bitiş]]="",($G$1-Tablo2[[#This Row],[Başlangıç]])*24,(Tablo2[[#This Row],[Bitiş]]-Tablo2[[#This Row],[Başlangıç]])*24)))</f>
        <v/>
      </c>
    </row>
    <row r="55" spans="1:5" x14ac:dyDescent="0.3">
      <c r="A55">
        <v>201</v>
      </c>
      <c r="B55" t="s">
        <v>65</v>
      </c>
      <c r="C55" s="1"/>
      <c r="D55" s="1"/>
      <c r="E55" s="17" t="str">
        <f>IF(Tablo2[[#This Row],[Başlangıç]]="","",(IF(Tablo2[[#This Row],[Bitiş]]="",($G$1-Tablo2[[#This Row],[Başlangıç]])*24,(Tablo2[[#This Row],[Bitiş]]-Tablo2[[#This Row],[Başlangıç]])*24)))</f>
        <v/>
      </c>
    </row>
    <row r="56" spans="1:5" x14ac:dyDescent="0.3">
      <c r="A56">
        <v>202</v>
      </c>
      <c r="B56" t="s">
        <v>36</v>
      </c>
      <c r="C56" s="1"/>
      <c r="D56" s="1"/>
      <c r="E56" s="17" t="str">
        <f>IF(Tablo2[[#This Row],[Başlangıç]]="","",(IF(Tablo2[[#This Row],[Bitiş]]="",($G$1-Tablo2[[#This Row],[Başlangıç]])*24,(Tablo2[[#This Row],[Bitiş]]-Tablo2[[#This Row],[Başlangıç]])*24)))</f>
        <v/>
      </c>
    </row>
    <row r="57" spans="1:5" x14ac:dyDescent="0.3">
      <c r="A57">
        <v>202</v>
      </c>
      <c r="B57" t="s">
        <v>84</v>
      </c>
      <c r="C57" s="1"/>
      <c r="D57" s="1"/>
      <c r="E57" s="17" t="str">
        <f>IF(Tablo2[[#This Row],[Başlangıç]]="","",(IF(Tablo2[[#This Row],[Bitiş]]="",($G$1-Tablo2[[#This Row],[Başlangıç]])*24,(Tablo2[[#This Row],[Bitiş]]-Tablo2[[#This Row],[Başlangıç]])*24)))</f>
        <v/>
      </c>
    </row>
    <row r="58" spans="1:5" x14ac:dyDescent="0.3">
      <c r="A58">
        <v>202</v>
      </c>
      <c r="B58" t="s">
        <v>179</v>
      </c>
      <c r="C58" s="1">
        <v>44415.083333333336</v>
      </c>
      <c r="D58" s="1">
        <v>44415.104166666664</v>
      </c>
      <c r="E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9" spans="1:5" x14ac:dyDescent="0.3">
      <c r="A59">
        <v>202</v>
      </c>
      <c r="B59" t="s">
        <v>68</v>
      </c>
      <c r="C59" s="1"/>
      <c r="D59" s="1"/>
      <c r="E59" s="17" t="str">
        <f>IF(Tablo2[[#This Row],[Başlangıç]]="","",(IF(Tablo2[[#This Row],[Bitiş]]="",($G$1-Tablo2[[#This Row],[Başlangıç]])*24,(Tablo2[[#This Row],[Bitiş]]-Tablo2[[#This Row],[Başlangıç]])*24)))</f>
        <v/>
      </c>
    </row>
    <row r="60" spans="1:5" x14ac:dyDescent="0.3">
      <c r="A60">
        <v>202</v>
      </c>
      <c r="B60" t="s">
        <v>37</v>
      </c>
      <c r="C60" s="1"/>
      <c r="D60" s="1"/>
      <c r="E60" s="17" t="str">
        <f>IF(Tablo2[[#This Row],[Başlangıç]]="","",(IF(Tablo2[[#This Row],[Bitiş]]="",($G$1-Tablo2[[#This Row],[Başlangıç]])*24,(Tablo2[[#This Row],[Bitiş]]-Tablo2[[#This Row],[Başlangıç]])*24)))</f>
        <v/>
      </c>
    </row>
    <row r="61" spans="1:5" x14ac:dyDescent="0.3">
      <c r="A61">
        <v>202</v>
      </c>
      <c r="B61" t="s">
        <v>65</v>
      </c>
      <c r="C61" s="1"/>
      <c r="D61" s="1"/>
      <c r="E61" s="17" t="str">
        <f>IF(Tablo2[[#This Row],[Başlangıç]]="","",(IF(Tablo2[[#This Row],[Bitiş]]="",($G$1-Tablo2[[#This Row],[Başlangıç]])*24,(Tablo2[[#This Row],[Bitiş]]-Tablo2[[#This Row],[Başlangıç]])*24)))</f>
        <v/>
      </c>
    </row>
    <row r="62" spans="1:5" x14ac:dyDescent="0.3">
      <c r="A62">
        <v>203</v>
      </c>
      <c r="B62" t="s">
        <v>36</v>
      </c>
      <c r="C62" s="1"/>
      <c r="D62" s="1"/>
      <c r="E62" s="17" t="str">
        <f>IF(Tablo2[[#This Row],[Başlangıç]]="","",(IF(Tablo2[[#This Row],[Bitiş]]="",($G$1-Tablo2[[#This Row],[Başlangıç]])*24,(Tablo2[[#This Row],[Bitiş]]-Tablo2[[#This Row],[Başlangıç]])*24)))</f>
        <v/>
      </c>
    </row>
    <row r="63" spans="1:5" x14ac:dyDescent="0.3">
      <c r="A63">
        <v>203</v>
      </c>
      <c r="B63" t="s">
        <v>84</v>
      </c>
      <c r="C63" s="1"/>
      <c r="D63" s="1"/>
      <c r="E63" s="17" t="str">
        <f>IF(Tablo2[[#This Row],[Başlangıç]]="","",(IF(Tablo2[[#This Row],[Bitiş]]="",($G$1-Tablo2[[#This Row],[Başlangıç]])*24,(Tablo2[[#This Row],[Bitiş]]-Tablo2[[#This Row],[Başlangıç]])*24)))</f>
        <v/>
      </c>
    </row>
    <row r="64" spans="1:5" x14ac:dyDescent="0.3">
      <c r="A64">
        <v>203</v>
      </c>
      <c r="B64" t="s">
        <v>179</v>
      </c>
      <c r="C64" s="1">
        <v>44415.875</v>
      </c>
      <c r="D64" s="1">
        <v>44415.895833333336</v>
      </c>
      <c r="E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5" spans="1:5" x14ac:dyDescent="0.3">
      <c r="A65">
        <v>203</v>
      </c>
      <c r="B65" t="s">
        <v>68</v>
      </c>
      <c r="C65" s="1"/>
      <c r="D65" s="1"/>
      <c r="E65" s="17" t="str">
        <f>IF(Tablo2[[#This Row],[Başlangıç]]="","",(IF(Tablo2[[#This Row],[Bitiş]]="",($G$1-Tablo2[[#This Row],[Başlangıç]])*24,(Tablo2[[#This Row],[Bitiş]]-Tablo2[[#This Row],[Başlangıç]])*24)))</f>
        <v/>
      </c>
    </row>
    <row r="66" spans="1:5" x14ac:dyDescent="0.3">
      <c r="A66">
        <v>203</v>
      </c>
      <c r="B66" t="s">
        <v>37</v>
      </c>
      <c r="C66" s="1"/>
      <c r="D66" s="1"/>
      <c r="E66" s="17" t="str">
        <f>IF(Tablo2[[#This Row],[Başlangıç]]="","",(IF(Tablo2[[#This Row],[Bitiş]]="",($G$1-Tablo2[[#This Row],[Başlangıç]])*24,(Tablo2[[#This Row],[Bitiş]]-Tablo2[[#This Row],[Başlangıç]])*24)))</f>
        <v/>
      </c>
    </row>
    <row r="67" spans="1:5" x14ac:dyDescent="0.3">
      <c r="A67">
        <v>203</v>
      </c>
      <c r="B67" t="s">
        <v>65</v>
      </c>
      <c r="C67" s="1"/>
      <c r="D67" s="1"/>
      <c r="E67" s="17" t="str">
        <f>IF(Tablo2[[#This Row],[Başlangıç]]="","",(IF(Tablo2[[#This Row],[Bitiş]]="",($G$1-Tablo2[[#This Row],[Başlangıç]])*24,(Tablo2[[#This Row],[Bitiş]]-Tablo2[[#This Row],[Başlangıç]])*24)))</f>
        <v/>
      </c>
    </row>
    <row r="68" spans="1:5" x14ac:dyDescent="0.3">
      <c r="A68">
        <v>204</v>
      </c>
      <c r="B68" t="s">
        <v>36</v>
      </c>
      <c r="C68" s="1"/>
      <c r="D68" s="1"/>
      <c r="E68" s="17" t="str">
        <f>IF(Tablo2[[#This Row],[Başlangıç]]="","",(IF(Tablo2[[#This Row],[Bitiş]]="",($G$1-Tablo2[[#This Row],[Başlangıç]])*24,(Tablo2[[#This Row],[Bitiş]]-Tablo2[[#This Row],[Başlangıç]])*24)))</f>
        <v/>
      </c>
    </row>
    <row r="69" spans="1:5" x14ac:dyDescent="0.3">
      <c r="A69">
        <v>204</v>
      </c>
      <c r="B69" t="s">
        <v>84</v>
      </c>
      <c r="C69" s="1"/>
      <c r="D69" s="1"/>
      <c r="E69" s="17" t="str">
        <f>IF(Tablo2[[#This Row],[Başlangıç]]="","",(IF(Tablo2[[#This Row],[Bitiş]]="",($G$1-Tablo2[[#This Row],[Başlangıç]])*24,(Tablo2[[#This Row],[Bitiş]]-Tablo2[[#This Row],[Başlangıç]])*24)))</f>
        <v/>
      </c>
    </row>
    <row r="70" spans="1:5" x14ac:dyDescent="0.3">
      <c r="A70">
        <v>204</v>
      </c>
      <c r="B70" t="s">
        <v>179</v>
      </c>
      <c r="C70" s="1">
        <v>44415.885416666664</v>
      </c>
      <c r="D70" s="1">
        <v>44415.90625</v>
      </c>
      <c r="E7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1" spans="1:5" x14ac:dyDescent="0.3">
      <c r="A71">
        <v>204</v>
      </c>
      <c r="B71" t="s">
        <v>68</v>
      </c>
      <c r="C71" s="1"/>
      <c r="D71" s="1"/>
      <c r="E71" s="17" t="str">
        <f>IF(Tablo2[[#This Row],[Başlangıç]]="","",(IF(Tablo2[[#This Row],[Bitiş]]="",($G$1-Tablo2[[#This Row],[Başlangıç]])*24,(Tablo2[[#This Row],[Bitiş]]-Tablo2[[#This Row],[Başlangıç]])*24)))</f>
        <v/>
      </c>
    </row>
    <row r="72" spans="1:5" x14ac:dyDescent="0.3">
      <c r="A72">
        <v>204</v>
      </c>
      <c r="B72" t="s">
        <v>37</v>
      </c>
      <c r="C72" s="1"/>
      <c r="D72" s="1"/>
      <c r="E72" s="17" t="str">
        <f>IF(Tablo2[[#This Row],[Başlangıç]]="","",(IF(Tablo2[[#This Row],[Bitiş]]="",($G$1-Tablo2[[#This Row],[Başlangıç]])*24,(Tablo2[[#This Row],[Bitiş]]-Tablo2[[#This Row],[Başlangıç]])*24)))</f>
        <v/>
      </c>
    </row>
    <row r="73" spans="1:5" x14ac:dyDescent="0.3">
      <c r="A73">
        <v>204</v>
      </c>
      <c r="B73" t="s">
        <v>65</v>
      </c>
      <c r="C73" s="1"/>
      <c r="D73" s="1"/>
      <c r="E73" s="17" t="str">
        <f>IF(Tablo2[[#This Row],[Başlangıç]]="","",(IF(Tablo2[[#This Row],[Bitiş]]="",($G$1-Tablo2[[#This Row],[Başlangıç]])*24,(Tablo2[[#This Row],[Bitiş]]-Tablo2[[#This Row],[Başlangıç]])*24)))</f>
        <v/>
      </c>
    </row>
    <row r="74" spans="1:5" x14ac:dyDescent="0.3">
      <c r="A74">
        <v>205</v>
      </c>
      <c r="B74" t="s">
        <v>36</v>
      </c>
      <c r="C74" s="1"/>
      <c r="D74" s="1"/>
      <c r="E74" s="17" t="str">
        <f>IF(Tablo2[[#This Row],[Başlangıç]]="","",(IF(Tablo2[[#This Row],[Bitiş]]="",($G$1-Tablo2[[#This Row],[Başlangıç]])*24,(Tablo2[[#This Row],[Bitiş]]-Tablo2[[#This Row],[Başlangıç]])*24)))</f>
        <v/>
      </c>
    </row>
    <row r="75" spans="1:5" x14ac:dyDescent="0.3">
      <c r="A75">
        <v>205</v>
      </c>
      <c r="B75" t="s">
        <v>84</v>
      </c>
      <c r="C75" s="1"/>
      <c r="D75" s="1"/>
      <c r="E75" s="17" t="str">
        <f>IF(Tablo2[[#This Row],[Başlangıç]]="","",(IF(Tablo2[[#This Row],[Bitiş]]="",($G$1-Tablo2[[#This Row],[Başlangıç]])*24,(Tablo2[[#This Row],[Bitiş]]-Tablo2[[#This Row],[Başlangıç]])*24)))</f>
        <v/>
      </c>
    </row>
    <row r="76" spans="1:5" x14ac:dyDescent="0.3">
      <c r="A76">
        <v>205</v>
      </c>
      <c r="B76" t="s">
        <v>179</v>
      </c>
      <c r="C76" s="1">
        <v>44416.083333333336</v>
      </c>
      <c r="D76" s="1">
        <v>44416.104166666664</v>
      </c>
      <c r="E7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7" spans="1:5" x14ac:dyDescent="0.3">
      <c r="A77">
        <v>205</v>
      </c>
      <c r="B77" t="s">
        <v>68</v>
      </c>
      <c r="C77" s="1"/>
      <c r="D77" s="1"/>
      <c r="E77" s="17" t="str">
        <f>IF(Tablo2[[#This Row],[Başlangıç]]="","",(IF(Tablo2[[#This Row],[Bitiş]]="",($G$1-Tablo2[[#This Row],[Başlangıç]])*24,(Tablo2[[#This Row],[Bitiş]]-Tablo2[[#This Row],[Başlangıç]])*24)))</f>
        <v/>
      </c>
    </row>
    <row r="78" spans="1:5" x14ac:dyDescent="0.3">
      <c r="A78">
        <v>205</v>
      </c>
      <c r="B78" t="s">
        <v>37</v>
      </c>
      <c r="C78" s="1"/>
      <c r="D78" s="1"/>
      <c r="E78" s="17" t="str">
        <f>IF(Tablo2[[#This Row],[Başlangıç]]="","",(IF(Tablo2[[#This Row],[Bitiş]]="",($G$1-Tablo2[[#This Row],[Başlangıç]])*24,(Tablo2[[#This Row],[Bitiş]]-Tablo2[[#This Row],[Başlangıç]])*24)))</f>
        <v/>
      </c>
    </row>
    <row r="79" spans="1:5" x14ac:dyDescent="0.3">
      <c r="A79">
        <v>205</v>
      </c>
      <c r="B79" t="s">
        <v>65</v>
      </c>
      <c r="C79" s="1"/>
      <c r="D79" s="1"/>
      <c r="E79" s="17" t="str">
        <f>IF(Tablo2[[#This Row],[Başlangıç]]="","",(IF(Tablo2[[#This Row],[Bitiş]]="",($G$1-Tablo2[[#This Row],[Başlangıç]])*24,(Tablo2[[#This Row],[Bitiş]]-Tablo2[[#This Row],[Başlangıç]])*24)))</f>
        <v/>
      </c>
    </row>
    <row r="80" spans="1:5" x14ac:dyDescent="0.3">
      <c r="A80">
        <v>206</v>
      </c>
      <c r="B80" t="s">
        <v>36</v>
      </c>
      <c r="C80" s="1"/>
      <c r="D80" s="1"/>
      <c r="E80" s="17" t="str">
        <f>IF(Tablo2[[#This Row],[Başlangıç]]="","",(IF(Tablo2[[#This Row],[Bitiş]]="",($G$1-Tablo2[[#This Row],[Başlangıç]])*24,(Tablo2[[#This Row],[Bitiş]]-Tablo2[[#This Row],[Başlangıç]])*24)))</f>
        <v/>
      </c>
    </row>
    <row r="81" spans="1:5" x14ac:dyDescent="0.3">
      <c r="A81">
        <v>206</v>
      </c>
      <c r="B81" t="s">
        <v>84</v>
      </c>
      <c r="C81" s="1"/>
      <c r="D81" s="1"/>
      <c r="E81" s="17" t="str">
        <f>IF(Tablo2[[#This Row],[Başlangıç]]="","",(IF(Tablo2[[#This Row],[Bitiş]]="",($G$1-Tablo2[[#This Row],[Başlangıç]])*24,(Tablo2[[#This Row],[Bitiş]]-Tablo2[[#This Row],[Başlangıç]])*24)))</f>
        <v/>
      </c>
    </row>
    <row r="82" spans="1:5" x14ac:dyDescent="0.3">
      <c r="A82">
        <v>206</v>
      </c>
      <c r="B82" t="s">
        <v>179</v>
      </c>
      <c r="C82" s="1">
        <v>44418.145833333336</v>
      </c>
      <c r="D82" s="1">
        <v>44418.166666666664</v>
      </c>
      <c r="E8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3" spans="1:5" x14ac:dyDescent="0.3">
      <c r="A83">
        <v>206</v>
      </c>
      <c r="B83" t="s">
        <v>68</v>
      </c>
      <c r="C83" s="1"/>
      <c r="D83" s="1"/>
      <c r="E83" s="17" t="str">
        <f>IF(Tablo2[[#This Row],[Başlangıç]]="","",(IF(Tablo2[[#This Row],[Bitiş]]="",($G$1-Tablo2[[#This Row],[Başlangıç]])*24,(Tablo2[[#This Row],[Bitiş]]-Tablo2[[#This Row],[Başlangıç]])*24)))</f>
        <v/>
      </c>
    </row>
    <row r="84" spans="1:5" x14ac:dyDescent="0.3">
      <c r="A84">
        <v>206</v>
      </c>
      <c r="B84" t="s">
        <v>37</v>
      </c>
      <c r="C84" s="1"/>
      <c r="D84" s="1"/>
      <c r="E84" s="17" t="str">
        <f>IF(Tablo2[[#This Row],[Başlangıç]]="","",(IF(Tablo2[[#This Row],[Bitiş]]="",($G$1-Tablo2[[#This Row],[Başlangıç]])*24,(Tablo2[[#This Row],[Bitiş]]-Tablo2[[#This Row],[Başlangıç]])*24)))</f>
        <v/>
      </c>
    </row>
    <row r="85" spans="1:5" x14ac:dyDescent="0.3">
      <c r="A85">
        <v>206</v>
      </c>
      <c r="B85" t="s">
        <v>65</v>
      </c>
      <c r="C85" s="1"/>
      <c r="D85" s="1"/>
      <c r="E85" s="17" t="str">
        <f>IF(Tablo2[[#This Row],[Başlangıç]]="","",(IF(Tablo2[[#This Row],[Bitiş]]="",($G$1-Tablo2[[#This Row],[Başlangıç]])*24,(Tablo2[[#This Row],[Bitiş]]-Tablo2[[#This Row],[Başlangıç]])*24)))</f>
        <v/>
      </c>
    </row>
    <row r="86" spans="1:5" x14ac:dyDescent="0.3">
      <c r="A86">
        <v>207</v>
      </c>
      <c r="B86" t="s">
        <v>36</v>
      </c>
      <c r="C86" s="1"/>
      <c r="D86" s="1"/>
      <c r="E86" s="17" t="str">
        <f>IF(Tablo2[[#This Row],[Başlangıç]]="","",(IF(Tablo2[[#This Row],[Bitiş]]="",($G$1-Tablo2[[#This Row],[Başlangıç]])*24,(Tablo2[[#This Row],[Bitiş]]-Tablo2[[#This Row],[Başlangıç]])*24)))</f>
        <v/>
      </c>
    </row>
    <row r="87" spans="1:5" x14ac:dyDescent="0.3">
      <c r="A87">
        <v>207</v>
      </c>
      <c r="B87" t="s">
        <v>84</v>
      </c>
      <c r="C87" s="1"/>
      <c r="D87" s="1"/>
      <c r="E87" s="17" t="str">
        <f>IF(Tablo2[[#This Row],[Başlangıç]]="","",(IF(Tablo2[[#This Row],[Bitiş]]="",($G$1-Tablo2[[#This Row],[Başlangıç]])*24,(Tablo2[[#This Row],[Bitiş]]-Tablo2[[#This Row],[Başlangıç]])*24)))</f>
        <v/>
      </c>
    </row>
    <row r="88" spans="1:5" x14ac:dyDescent="0.3">
      <c r="A88">
        <v>207</v>
      </c>
      <c r="B88" t="s">
        <v>179</v>
      </c>
      <c r="C88" s="1">
        <v>44418.645833333336</v>
      </c>
      <c r="D88" s="1">
        <v>44418.666666666664</v>
      </c>
      <c r="E8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9" spans="1:5" x14ac:dyDescent="0.3">
      <c r="A89">
        <v>207</v>
      </c>
      <c r="B89" t="s">
        <v>68</v>
      </c>
      <c r="C89" s="1"/>
      <c r="D89" s="1"/>
      <c r="E89" s="17" t="str">
        <f>IF(Tablo2[[#This Row],[Başlangıç]]="","",(IF(Tablo2[[#This Row],[Bitiş]]="",($G$1-Tablo2[[#This Row],[Başlangıç]])*24,(Tablo2[[#This Row],[Bitiş]]-Tablo2[[#This Row],[Başlangıç]])*24)))</f>
        <v/>
      </c>
    </row>
    <row r="90" spans="1:5" x14ac:dyDescent="0.3">
      <c r="A90">
        <v>207</v>
      </c>
      <c r="B90" t="s">
        <v>37</v>
      </c>
      <c r="C90" s="1"/>
      <c r="D90" s="1"/>
      <c r="E90" s="17" t="str">
        <f>IF(Tablo2[[#This Row],[Başlangıç]]="","",(IF(Tablo2[[#This Row],[Bitiş]]="",($G$1-Tablo2[[#This Row],[Başlangıç]])*24,(Tablo2[[#This Row],[Bitiş]]-Tablo2[[#This Row],[Başlangıç]])*24)))</f>
        <v/>
      </c>
    </row>
    <row r="91" spans="1:5" x14ac:dyDescent="0.3">
      <c r="A91">
        <v>207</v>
      </c>
      <c r="B91" t="s">
        <v>65</v>
      </c>
      <c r="C91" s="1"/>
      <c r="D91" s="1"/>
      <c r="E91" s="17" t="str">
        <f>IF(Tablo2[[#This Row],[Başlangıç]]="","",(IF(Tablo2[[#This Row],[Bitiş]]="",($G$1-Tablo2[[#This Row],[Başlangıç]])*24,(Tablo2[[#This Row],[Bitiş]]-Tablo2[[#This Row],[Başlangıç]])*24)))</f>
        <v/>
      </c>
    </row>
    <row r="92" spans="1:5" x14ac:dyDescent="0.3">
      <c r="A92">
        <v>208</v>
      </c>
      <c r="B92" t="s">
        <v>36</v>
      </c>
      <c r="C92" s="1"/>
      <c r="D92" s="1"/>
      <c r="E92" s="17" t="str">
        <f>IF(Tablo2[[#This Row],[Başlangıç]]="","",(IF(Tablo2[[#This Row],[Bitiş]]="",($G$1-Tablo2[[#This Row],[Başlangıç]])*24,(Tablo2[[#This Row],[Bitiş]]-Tablo2[[#This Row],[Başlangıç]])*24)))</f>
        <v/>
      </c>
    </row>
    <row r="93" spans="1:5" x14ac:dyDescent="0.3">
      <c r="A93">
        <v>208</v>
      </c>
      <c r="B93" t="s">
        <v>84</v>
      </c>
      <c r="C93" s="1"/>
      <c r="D93" s="1"/>
      <c r="E93" s="17" t="str">
        <f>IF(Tablo2[[#This Row],[Başlangıç]]="","",(IF(Tablo2[[#This Row],[Bitiş]]="",($G$1-Tablo2[[#This Row],[Başlangıç]])*24,(Tablo2[[#This Row],[Bitiş]]-Tablo2[[#This Row],[Başlangıç]])*24)))</f>
        <v/>
      </c>
    </row>
    <row r="94" spans="1:5" x14ac:dyDescent="0.3">
      <c r="A94">
        <v>208</v>
      </c>
      <c r="B94" t="s">
        <v>179</v>
      </c>
      <c r="C94" s="1">
        <v>44419.020833333336</v>
      </c>
      <c r="D94" s="1">
        <v>44419.041666666664</v>
      </c>
      <c r="E9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5" spans="1:5" x14ac:dyDescent="0.3">
      <c r="A95">
        <v>208</v>
      </c>
      <c r="B95" t="s">
        <v>68</v>
      </c>
      <c r="C95" s="1"/>
      <c r="D95" s="1"/>
      <c r="E95" s="17" t="str">
        <f>IF(Tablo2[[#This Row],[Başlangıç]]="","",(IF(Tablo2[[#This Row],[Bitiş]]="",($G$1-Tablo2[[#This Row],[Başlangıç]])*24,(Tablo2[[#This Row],[Bitiş]]-Tablo2[[#This Row],[Başlangıç]])*24)))</f>
        <v/>
      </c>
    </row>
    <row r="96" spans="1:5" x14ac:dyDescent="0.3">
      <c r="A96">
        <v>208</v>
      </c>
      <c r="B96" t="s">
        <v>37</v>
      </c>
      <c r="C96" s="1"/>
      <c r="D96" s="1"/>
      <c r="E96" s="17" t="str">
        <f>IF(Tablo2[[#This Row],[Başlangıç]]="","",(IF(Tablo2[[#This Row],[Bitiş]]="",($G$1-Tablo2[[#This Row],[Başlangıç]])*24,(Tablo2[[#This Row],[Bitiş]]-Tablo2[[#This Row],[Başlangıç]])*24)))</f>
        <v/>
      </c>
    </row>
    <row r="97" spans="1:5" x14ac:dyDescent="0.3">
      <c r="A97">
        <v>208</v>
      </c>
      <c r="B97" t="s">
        <v>65</v>
      </c>
      <c r="C97" s="1"/>
      <c r="D97" s="1"/>
      <c r="E97" s="17" t="str">
        <f>IF(Tablo2[[#This Row],[Başlangıç]]="","",(IF(Tablo2[[#This Row],[Bitiş]]="",($G$1-Tablo2[[#This Row],[Başlangıç]])*24,(Tablo2[[#This Row],[Bitiş]]-Tablo2[[#This Row],[Başlangıç]])*24)))</f>
        <v/>
      </c>
    </row>
    <row r="98" spans="1:5" x14ac:dyDescent="0.3">
      <c r="A98">
        <v>209</v>
      </c>
      <c r="B98" t="s">
        <v>36</v>
      </c>
      <c r="C98" s="1"/>
      <c r="D98" s="1"/>
      <c r="E98" s="17" t="str">
        <f>IF(Tablo2[[#This Row],[Başlangıç]]="","",(IF(Tablo2[[#This Row],[Bitiş]]="",($G$1-Tablo2[[#This Row],[Başlangıç]])*24,(Tablo2[[#This Row],[Bitiş]]-Tablo2[[#This Row],[Başlangıç]])*24)))</f>
        <v/>
      </c>
    </row>
    <row r="99" spans="1:5" x14ac:dyDescent="0.3">
      <c r="A99">
        <v>209</v>
      </c>
      <c r="B99" t="s">
        <v>84</v>
      </c>
      <c r="C99" s="1"/>
      <c r="D99" s="1"/>
      <c r="E9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0" spans="1:5" x14ac:dyDescent="0.3">
      <c r="A100">
        <v>209</v>
      </c>
      <c r="B100" t="s">
        <v>179</v>
      </c>
      <c r="C100" s="1">
        <v>44419.5</v>
      </c>
      <c r="D100" s="1">
        <v>44419.520833333336</v>
      </c>
      <c r="E10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1" spans="1:5" x14ac:dyDescent="0.3">
      <c r="A101">
        <v>209</v>
      </c>
      <c r="B101" t="s">
        <v>68</v>
      </c>
      <c r="C101" s="1"/>
      <c r="D101" s="1"/>
      <c r="E10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2" spans="1:5" x14ac:dyDescent="0.3">
      <c r="A102">
        <v>209</v>
      </c>
      <c r="B102" t="s">
        <v>37</v>
      </c>
      <c r="C102" s="1"/>
      <c r="D102" s="1"/>
      <c r="E102" s="17" t="str">
        <f>IF(Tablo2[[#This Row],[Başlangıç]]="","",(IF(Tablo2[[#This Row],[Bitiş]]="",($G$1-Tablo2[[#This Row],[Başlangıç]])*24,(Tablo2[[#This Row],[Bitiş]]-Tablo2[[#This Row],[Başlangıç]])*24)))</f>
        <v/>
      </c>
    </row>
    <row r="103" spans="1:5" x14ac:dyDescent="0.3">
      <c r="A103">
        <v>209</v>
      </c>
      <c r="B103" t="s">
        <v>65</v>
      </c>
      <c r="C103" s="1"/>
      <c r="D103" s="1"/>
      <c r="E10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4" spans="1:5" x14ac:dyDescent="0.3">
      <c r="A104">
        <v>210</v>
      </c>
      <c r="B104" t="s">
        <v>36</v>
      </c>
      <c r="C104" s="1"/>
      <c r="D104" s="1"/>
      <c r="E104" s="17" t="str">
        <f>IF(Tablo2[[#This Row],[Başlangıç]]="","",(IF(Tablo2[[#This Row],[Bitiş]]="",($G$1-Tablo2[[#This Row],[Başlangıç]])*24,(Tablo2[[#This Row],[Bitiş]]-Tablo2[[#This Row],[Başlangıç]])*24)))</f>
        <v/>
      </c>
    </row>
    <row r="105" spans="1:5" x14ac:dyDescent="0.3">
      <c r="A105">
        <v>210</v>
      </c>
      <c r="B105" t="s">
        <v>84</v>
      </c>
      <c r="C105" s="1"/>
      <c r="D105" s="1"/>
      <c r="E1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6" spans="1:5" x14ac:dyDescent="0.3">
      <c r="A106">
        <v>210</v>
      </c>
      <c r="B106" t="s">
        <v>179</v>
      </c>
      <c r="C106" s="1">
        <v>44420.03125</v>
      </c>
      <c r="D106" s="1">
        <v>44420.052083333336</v>
      </c>
      <c r="E10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7" spans="1:5" x14ac:dyDescent="0.3">
      <c r="A107">
        <v>210</v>
      </c>
      <c r="B107" t="s">
        <v>68</v>
      </c>
      <c r="C107" s="1"/>
      <c r="D107" s="1"/>
      <c r="E10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8" spans="1:5" x14ac:dyDescent="0.3">
      <c r="A108">
        <v>210</v>
      </c>
      <c r="B108" t="s">
        <v>37</v>
      </c>
      <c r="C108" s="1"/>
      <c r="D108" s="1"/>
      <c r="E108" s="17" t="str">
        <f>IF(Tablo2[[#This Row],[Başlangıç]]="","",(IF(Tablo2[[#This Row],[Bitiş]]="",($G$1-Tablo2[[#This Row],[Başlangıç]])*24,(Tablo2[[#This Row],[Bitiş]]-Tablo2[[#This Row],[Başlangıç]])*24)))</f>
        <v/>
      </c>
    </row>
    <row r="109" spans="1:5" x14ac:dyDescent="0.3">
      <c r="A109">
        <v>210</v>
      </c>
      <c r="B109" t="s">
        <v>65</v>
      </c>
      <c r="C109" s="1"/>
      <c r="D109" s="1"/>
      <c r="E10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0" spans="1:5" x14ac:dyDescent="0.3">
      <c r="A110">
        <v>211</v>
      </c>
      <c r="B110" t="s">
        <v>36</v>
      </c>
      <c r="C110" s="1"/>
      <c r="D110" s="1"/>
      <c r="E110" s="17" t="str">
        <f>IF(Tablo2[[#This Row],[Başlangıç]]="","",(IF(Tablo2[[#This Row],[Bitiş]]="",($G$1-Tablo2[[#This Row],[Başlangıç]])*24,(Tablo2[[#This Row],[Bitiş]]-Tablo2[[#This Row],[Başlangıç]])*24)))</f>
        <v/>
      </c>
    </row>
    <row r="111" spans="1:5" x14ac:dyDescent="0.3">
      <c r="A111">
        <v>211</v>
      </c>
      <c r="B111" t="s">
        <v>84</v>
      </c>
      <c r="C111" s="1"/>
      <c r="D111" s="1"/>
      <c r="E1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2" spans="1:5" x14ac:dyDescent="0.3">
      <c r="A112">
        <v>211</v>
      </c>
      <c r="B112" t="s">
        <v>179</v>
      </c>
      <c r="C112" s="1">
        <v>44420.760416666664</v>
      </c>
      <c r="D112" s="1">
        <v>44420.78125</v>
      </c>
      <c r="E11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3" spans="1:5" x14ac:dyDescent="0.3">
      <c r="A113">
        <v>211</v>
      </c>
      <c r="B113" t="s">
        <v>68</v>
      </c>
      <c r="C113" s="1"/>
      <c r="D113" s="1"/>
      <c r="E11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4" spans="1:5" x14ac:dyDescent="0.3">
      <c r="A114">
        <v>211</v>
      </c>
      <c r="B114" t="s">
        <v>37</v>
      </c>
      <c r="C114" s="1"/>
      <c r="D114" s="1"/>
      <c r="E114" s="17" t="str">
        <f>IF(Tablo2[[#This Row],[Başlangıç]]="","",(IF(Tablo2[[#This Row],[Bitiş]]="",($G$1-Tablo2[[#This Row],[Başlangıç]])*24,(Tablo2[[#This Row],[Bitiş]]-Tablo2[[#This Row],[Başlangıç]])*24)))</f>
        <v/>
      </c>
    </row>
    <row r="115" spans="1:5" x14ac:dyDescent="0.3">
      <c r="A115">
        <v>211</v>
      </c>
      <c r="B115" t="s">
        <v>65</v>
      </c>
      <c r="C115" s="1"/>
      <c r="D115" s="1"/>
      <c r="E1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6" spans="1:5" x14ac:dyDescent="0.3">
      <c r="A116">
        <v>212</v>
      </c>
      <c r="B116" t="s">
        <v>36</v>
      </c>
      <c r="C116" s="1"/>
      <c r="D116" s="1"/>
      <c r="E116" s="17" t="str">
        <f>IF(Tablo2[[#This Row],[Başlangıç]]="","",(IF(Tablo2[[#This Row],[Bitiş]]="",($G$1-Tablo2[[#This Row],[Başlangıç]])*24,(Tablo2[[#This Row],[Bitiş]]-Tablo2[[#This Row],[Başlangıç]])*24)))</f>
        <v/>
      </c>
    </row>
    <row r="117" spans="1:5" x14ac:dyDescent="0.3">
      <c r="A117">
        <v>212</v>
      </c>
      <c r="B117" t="s">
        <v>84</v>
      </c>
      <c r="C117" s="1"/>
      <c r="D117" s="1"/>
      <c r="E11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" spans="1:5" x14ac:dyDescent="0.3">
      <c r="A118">
        <v>212</v>
      </c>
      <c r="B118" t="s">
        <v>179</v>
      </c>
      <c r="C118" s="1">
        <v>44421.291666666664</v>
      </c>
      <c r="D118" s="1">
        <v>44421.3125</v>
      </c>
      <c r="E11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9" spans="1:5" x14ac:dyDescent="0.3">
      <c r="A119">
        <v>212</v>
      </c>
      <c r="B119" t="s">
        <v>68</v>
      </c>
      <c r="C119" s="1"/>
      <c r="D119" s="1"/>
      <c r="E11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0" spans="1:5" x14ac:dyDescent="0.3">
      <c r="A120">
        <v>212</v>
      </c>
      <c r="B120" t="s">
        <v>37</v>
      </c>
      <c r="C120" s="1"/>
      <c r="D120" s="1"/>
      <c r="E120" s="17" t="str">
        <f>IF(Tablo2[[#This Row],[Başlangıç]]="","",(IF(Tablo2[[#This Row],[Bitiş]]="",($G$1-Tablo2[[#This Row],[Başlangıç]])*24,(Tablo2[[#This Row],[Bitiş]]-Tablo2[[#This Row],[Başlangıç]])*24)))</f>
        <v/>
      </c>
    </row>
    <row r="121" spans="1:5" x14ac:dyDescent="0.3">
      <c r="A121">
        <v>212</v>
      </c>
      <c r="B121" t="s">
        <v>65</v>
      </c>
      <c r="C121" s="1"/>
      <c r="D121" s="1"/>
      <c r="E1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" spans="1:5" x14ac:dyDescent="0.3">
      <c r="A122">
        <v>213</v>
      </c>
      <c r="B122" t="s">
        <v>36</v>
      </c>
      <c r="C122" s="1"/>
      <c r="D122" s="1"/>
      <c r="E122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" spans="1:5" x14ac:dyDescent="0.3">
      <c r="A123">
        <v>213</v>
      </c>
      <c r="B123" t="s">
        <v>84</v>
      </c>
      <c r="C123" s="1"/>
      <c r="D123" s="1"/>
      <c r="E1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" spans="1:5" x14ac:dyDescent="0.3">
      <c r="A124">
        <v>213</v>
      </c>
      <c r="B124" t="s">
        <v>179</v>
      </c>
      <c r="C124" s="1">
        <v>44421.729166666664</v>
      </c>
      <c r="D124" s="1">
        <v>44421.75</v>
      </c>
      <c r="E1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5" spans="1:5" x14ac:dyDescent="0.3">
      <c r="A125">
        <v>213</v>
      </c>
      <c r="B125" t="s">
        <v>68</v>
      </c>
      <c r="C125" s="1"/>
      <c r="D125" s="1"/>
      <c r="E12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" spans="1:5" x14ac:dyDescent="0.3">
      <c r="A126">
        <v>213</v>
      </c>
      <c r="B126" t="s">
        <v>37</v>
      </c>
      <c r="C126" s="1"/>
      <c r="D126" s="1"/>
      <c r="E126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" spans="1:5" x14ac:dyDescent="0.3">
      <c r="A127">
        <v>213</v>
      </c>
      <c r="B127" t="s">
        <v>65</v>
      </c>
      <c r="C127" s="1"/>
      <c r="D127" s="1"/>
      <c r="E12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" spans="1:5" x14ac:dyDescent="0.3">
      <c r="A128">
        <v>214</v>
      </c>
      <c r="B128" t="s">
        <v>36</v>
      </c>
      <c r="C128" s="1"/>
      <c r="D128" s="1"/>
      <c r="E128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" spans="1:5" x14ac:dyDescent="0.3">
      <c r="A129">
        <v>214</v>
      </c>
      <c r="B129" t="s">
        <v>84</v>
      </c>
      <c r="C129" s="1"/>
      <c r="D129" s="1"/>
      <c r="E12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" spans="1:5" x14ac:dyDescent="0.3">
      <c r="A130">
        <v>214</v>
      </c>
      <c r="B130" t="s">
        <v>179</v>
      </c>
      <c r="C130" s="1">
        <v>44422.135416666664</v>
      </c>
      <c r="D130" s="1">
        <v>44422.15625</v>
      </c>
      <c r="E13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1" spans="1:5" x14ac:dyDescent="0.3">
      <c r="A131">
        <v>214</v>
      </c>
      <c r="B131" t="s">
        <v>68</v>
      </c>
      <c r="C131" s="1"/>
      <c r="D131" s="1"/>
      <c r="E13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" spans="1:5" x14ac:dyDescent="0.3">
      <c r="A132">
        <v>214</v>
      </c>
      <c r="B132" t="s">
        <v>37</v>
      </c>
      <c r="C132" s="1"/>
      <c r="D132" s="1"/>
      <c r="E132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" spans="1:5" x14ac:dyDescent="0.3">
      <c r="A133">
        <v>214</v>
      </c>
      <c r="B133" t="s">
        <v>65</v>
      </c>
      <c r="C133" s="1"/>
      <c r="D133" s="1"/>
      <c r="E13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" spans="1:5" x14ac:dyDescent="0.3">
      <c r="A134">
        <v>215</v>
      </c>
      <c r="B134" t="s">
        <v>36</v>
      </c>
      <c r="C134" s="1"/>
      <c r="D134" s="1"/>
      <c r="E134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" spans="1:5" x14ac:dyDescent="0.3">
      <c r="A135">
        <v>215</v>
      </c>
      <c r="B135" t="s">
        <v>84</v>
      </c>
      <c r="C135" s="1"/>
      <c r="D135" s="1"/>
      <c r="E13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" spans="1:5" x14ac:dyDescent="0.3">
      <c r="A136">
        <v>215</v>
      </c>
      <c r="B136" t="s">
        <v>179</v>
      </c>
      <c r="C136" s="1">
        <v>44422.708333333336</v>
      </c>
      <c r="D136" s="1">
        <v>44422.729166666664</v>
      </c>
      <c r="E13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7" spans="1:5" x14ac:dyDescent="0.3">
      <c r="A137">
        <v>215</v>
      </c>
      <c r="B137" t="s">
        <v>68</v>
      </c>
      <c r="C137" s="1"/>
      <c r="D137" s="1"/>
      <c r="E13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" spans="1:5" x14ac:dyDescent="0.3">
      <c r="A138">
        <v>215</v>
      </c>
      <c r="B138" t="s">
        <v>37</v>
      </c>
      <c r="C138" s="1"/>
      <c r="D138" s="1"/>
      <c r="E138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" spans="1:5" x14ac:dyDescent="0.3">
      <c r="A139">
        <v>215</v>
      </c>
      <c r="B139" t="s">
        <v>65</v>
      </c>
      <c r="C139" s="1"/>
      <c r="D139" s="1"/>
      <c r="E139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" spans="1:5" x14ac:dyDescent="0.3">
      <c r="A140">
        <v>216</v>
      </c>
      <c r="B140" t="s">
        <v>36</v>
      </c>
      <c r="C140" s="1"/>
      <c r="D140" s="1"/>
      <c r="E140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" spans="1:5" x14ac:dyDescent="0.3">
      <c r="A141">
        <v>216</v>
      </c>
      <c r="B141" t="s">
        <v>84</v>
      </c>
      <c r="C141" s="1"/>
      <c r="D141" s="1"/>
      <c r="E141" s="17" t="str">
        <f>IF(Tablo2[[#This Row],[Başlangıç]]="","",(IF(Tablo2[[#This Row],[Bitiş]]="",($G$1-Tablo2[[#This Row],[Başlangıç]])*24,(Tablo2[[#This Row],[Bitiş]]-Tablo2[[#This Row],[Başlangıç]])*24)))</f>
        <v/>
      </c>
    </row>
    <row r="142" spans="1:5" x14ac:dyDescent="0.3">
      <c r="A142">
        <v>216</v>
      </c>
      <c r="B142" t="s">
        <v>179</v>
      </c>
      <c r="C142" s="1">
        <v>44422.895833333336</v>
      </c>
      <c r="D142" s="1">
        <v>44422.916666666664</v>
      </c>
      <c r="E14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3" spans="1:5" x14ac:dyDescent="0.3">
      <c r="A143">
        <v>216</v>
      </c>
      <c r="B143" t="s">
        <v>68</v>
      </c>
      <c r="C143" s="1"/>
      <c r="D143" s="1"/>
      <c r="E143" s="17" t="str">
        <f>IF(Tablo2[[#This Row],[Başlangıç]]="","",(IF(Tablo2[[#This Row],[Bitiş]]="",($G$1-Tablo2[[#This Row],[Başlangıç]])*24,(Tablo2[[#This Row],[Bitiş]]-Tablo2[[#This Row],[Başlangıç]])*24)))</f>
        <v/>
      </c>
    </row>
    <row r="144" spans="1:5" x14ac:dyDescent="0.3">
      <c r="A144">
        <v>216</v>
      </c>
      <c r="B144" t="s">
        <v>37</v>
      </c>
      <c r="C144" s="1"/>
      <c r="D144" s="1"/>
      <c r="E144" s="17" t="str">
        <f>IF(Tablo2[[#This Row],[Başlangıç]]="","",(IF(Tablo2[[#This Row],[Bitiş]]="",($G$1-Tablo2[[#This Row],[Başlangıç]])*24,(Tablo2[[#This Row],[Bitiş]]-Tablo2[[#This Row],[Başlangıç]])*24)))</f>
        <v/>
      </c>
    </row>
    <row r="145" spans="1:5" x14ac:dyDescent="0.3">
      <c r="A145">
        <v>216</v>
      </c>
      <c r="B145" t="s">
        <v>65</v>
      </c>
      <c r="C145" s="1"/>
      <c r="D145" s="1"/>
      <c r="E145" s="17" t="str">
        <f>IF(Tablo2[[#This Row],[Başlangıç]]="","",(IF(Tablo2[[#This Row],[Bitiş]]="",($G$1-Tablo2[[#This Row],[Başlangıç]])*24,(Tablo2[[#This Row],[Bitiş]]-Tablo2[[#This Row],[Başlangıç]])*24)))</f>
        <v/>
      </c>
    </row>
    <row r="146" spans="1:5" x14ac:dyDescent="0.3">
      <c r="A146">
        <v>217</v>
      </c>
      <c r="B146" t="s">
        <v>36</v>
      </c>
      <c r="C146" s="1">
        <v>44424.520833333336</v>
      </c>
      <c r="D146" s="1">
        <v>44440.541666666664</v>
      </c>
      <c r="E146" s="17">
        <f>IF(Tablo2[[#This Row],[Başlangıç]]="","",(IF(Tablo2[[#This Row],[Bitiş]]="",($G$1-Tablo2[[#This Row],[Başlangıç]])*24,(Tablo2[[#This Row],[Bitiş]]-Tablo2[[#This Row],[Başlangıç]])*24)))</f>
        <v>384.49999999988358</v>
      </c>
    </row>
    <row r="147" spans="1:5" x14ac:dyDescent="0.3">
      <c r="A147">
        <v>217</v>
      </c>
      <c r="B147" t="s">
        <v>84</v>
      </c>
      <c r="C147" s="1">
        <v>44462.541666666664</v>
      </c>
      <c r="D147" s="1">
        <v>44462.541666666664</v>
      </c>
      <c r="E147" s="17">
        <f>IF(Tablo2[[#This Row],[Başlangıç]]="","",(IF(Tablo2[[#This Row],[Bitiş]]="",($G$1-Tablo2[[#This Row],[Başlangıç]])*24,(Tablo2[[#This Row],[Bitiş]]-Tablo2[[#This Row],[Başlangıç]])*24)))</f>
        <v>0</v>
      </c>
    </row>
    <row r="148" spans="1:5" x14ac:dyDescent="0.3">
      <c r="A148">
        <v>217</v>
      </c>
      <c r="B148" t="s">
        <v>179</v>
      </c>
      <c r="C148" s="1">
        <v>44424.520833333336</v>
      </c>
      <c r="D148" s="1">
        <v>44424.541666666664</v>
      </c>
      <c r="E14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9" spans="1:5" x14ac:dyDescent="0.3">
      <c r="A149">
        <v>217</v>
      </c>
      <c r="B149" t="s">
        <v>68</v>
      </c>
      <c r="C149" s="1"/>
      <c r="D149" s="1"/>
      <c r="E149" s="17" t="str">
        <f>IF(Tablo2[[#This Row],[Başlangıç]]="","",(IF(Tablo2[[#This Row],[Bitiş]]="",($G$1-Tablo2[[#This Row],[Başlangıç]])*24,(Tablo2[[#This Row],[Bitiş]]-Tablo2[[#This Row],[Başlangıç]])*24)))</f>
        <v/>
      </c>
    </row>
    <row r="150" spans="1:5" x14ac:dyDescent="0.3">
      <c r="A150">
        <v>217</v>
      </c>
      <c r="B150" t="s">
        <v>37</v>
      </c>
      <c r="C150" s="1">
        <v>44479.423611111109</v>
      </c>
      <c r="D150" s="1">
        <v>44479.833333333336</v>
      </c>
      <c r="E150" s="17">
        <f>IF(Tablo2[[#This Row],[Başlangıç]]="","",(IF(Tablo2[[#This Row],[Bitiş]]="",($G$1-Tablo2[[#This Row],[Başlangıç]])*24,(Tablo2[[#This Row],[Bitiş]]-Tablo2[[#This Row],[Başlangıç]])*24)))</f>
        <v>9.8333333334303461</v>
      </c>
    </row>
    <row r="151" spans="1:5" x14ac:dyDescent="0.3">
      <c r="A151">
        <v>217</v>
      </c>
      <c r="B151" t="s">
        <v>65</v>
      </c>
      <c r="C151" s="1"/>
      <c r="D151" s="1"/>
      <c r="E151" s="17" t="str">
        <f>IF(Tablo2[[#This Row],[Başlangıç]]="","",(IF(Tablo2[[#This Row],[Bitiş]]="",($G$1-Tablo2[[#This Row],[Başlangıç]])*24,(Tablo2[[#This Row],[Bitiş]]-Tablo2[[#This Row],[Başlangıç]])*24)))</f>
        <v/>
      </c>
    </row>
    <row r="152" spans="1:5" x14ac:dyDescent="0.3">
      <c r="A152">
        <v>218</v>
      </c>
      <c r="B152" t="s">
        <v>36</v>
      </c>
      <c r="C152" s="1"/>
      <c r="D152" s="1"/>
      <c r="E152" s="17" t="str">
        <f>IF(Tablo2[[#This Row],[Başlangıç]]="","",(IF(Tablo2[[#This Row],[Bitiş]]="",($G$1-Tablo2[[#This Row],[Başlangıç]])*24,(Tablo2[[#This Row],[Bitiş]]-Tablo2[[#This Row],[Başlangıç]])*24)))</f>
        <v/>
      </c>
    </row>
    <row r="153" spans="1:5" x14ac:dyDescent="0.3">
      <c r="A153">
        <v>218</v>
      </c>
      <c r="B153" t="s">
        <v>84</v>
      </c>
      <c r="C153" s="1"/>
      <c r="D153" s="1"/>
      <c r="E1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54" spans="1:5" x14ac:dyDescent="0.3">
      <c r="A154">
        <v>218</v>
      </c>
      <c r="B154" t="s">
        <v>179</v>
      </c>
      <c r="C154" s="1">
        <v>44425.177083333336</v>
      </c>
      <c r="D154" s="1">
        <v>44425.197916666664</v>
      </c>
      <c r="E15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5" spans="1:5" x14ac:dyDescent="0.3">
      <c r="A155">
        <v>218</v>
      </c>
      <c r="B155" t="s">
        <v>68</v>
      </c>
      <c r="C155" s="1"/>
      <c r="D155" s="1"/>
      <c r="E155" s="17" t="str">
        <f>IF(Tablo2[[#This Row],[Başlangıç]]="","",(IF(Tablo2[[#This Row],[Bitiş]]="",($G$1-Tablo2[[#This Row],[Başlangıç]])*24,(Tablo2[[#This Row],[Bitiş]]-Tablo2[[#This Row],[Başlangıç]])*24)))</f>
        <v/>
      </c>
    </row>
    <row r="156" spans="1:5" x14ac:dyDescent="0.3">
      <c r="A156">
        <v>218</v>
      </c>
      <c r="B156" t="s">
        <v>37</v>
      </c>
      <c r="C156" s="1"/>
      <c r="D156" s="1"/>
      <c r="E156" s="17" t="str">
        <f>IF(Tablo2[[#This Row],[Başlangıç]]="","",(IF(Tablo2[[#This Row],[Bitiş]]="",($G$1-Tablo2[[#This Row],[Başlangıç]])*24,(Tablo2[[#This Row],[Bitiş]]-Tablo2[[#This Row],[Başlangıç]])*24)))</f>
        <v/>
      </c>
    </row>
    <row r="157" spans="1:5" x14ac:dyDescent="0.3">
      <c r="A157">
        <v>218</v>
      </c>
      <c r="B157" t="s">
        <v>65</v>
      </c>
      <c r="C157" s="1"/>
      <c r="D157" s="1"/>
      <c r="E157" s="17" t="str">
        <f>IF(Tablo2[[#This Row],[Başlangıç]]="","",(IF(Tablo2[[#This Row],[Bitiş]]="",($G$1-Tablo2[[#This Row],[Başlangıç]])*24,(Tablo2[[#This Row],[Bitiş]]-Tablo2[[#This Row],[Başlangıç]])*24)))</f>
        <v/>
      </c>
    </row>
    <row r="158" spans="1:5" x14ac:dyDescent="0.3">
      <c r="A158">
        <v>219</v>
      </c>
      <c r="B158" t="s">
        <v>36</v>
      </c>
      <c r="C158" s="1">
        <v>44442.333333333336</v>
      </c>
      <c r="D158" s="1">
        <v>44444.145833333336</v>
      </c>
      <c r="E158" s="17">
        <f>IF(Tablo2[[#This Row],[Başlangıç]]="","",(IF(Tablo2[[#This Row],[Bitiş]]="",($G$1-Tablo2[[#This Row],[Başlangıç]])*24,(Tablo2[[#This Row],[Bitiş]]-Tablo2[[#This Row],[Başlangıç]])*24)))</f>
        <v>43.5</v>
      </c>
    </row>
    <row r="159" spans="1:5" x14ac:dyDescent="0.3">
      <c r="A159">
        <v>219</v>
      </c>
      <c r="B159" t="s">
        <v>84</v>
      </c>
      <c r="C159" s="1">
        <v>44444.121527777781</v>
      </c>
      <c r="D159" s="1">
        <v>44451.208333333336</v>
      </c>
      <c r="E159" s="17">
        <f>IF(Tablo2[[#This Row],[Başlangıç]]="","",(IF(Tablo2[[#This Row],[Bitiş]]="",($G$1-Tablo2[[#This Row],[Başlangıç]])*24,(Tablo2[[#This Row],[Bitiş]]-Tablo2[[#This Row],[Başlangıç]])*24)))</f>
        <v>170.08333333331393</v>
      </c>
    </row>
    <row r="160" spans="1:5" x14ac:dyDescent="0.3">
      <c r="A160">
        <v>219</v>
      </c>
      <c r="B160" t="s">
        <v>179</v>
      </c>
      <c r="C160" s="1">
        <v>44425.552083333336</v>
      </c>
      <c r="D160" s="1">
        <v>44425.572916666664</v>
      </c>
      <c r="E16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1" spans="1:5" x14ac:dyDescent="0.3">
      <c r="A161">
        <v>219</v>
      </c>
      <c r="B161" t="s">
        <v>68</v>
      </c>
      <c r="C161" s="1">
        <v>44444.121527777781</v>
      </c>
      <c r="D161" s="1">
        <v>44444.121527777781</v>
      </c>
      <c r="E161" s="17">
        <f>IF(Tablo2[[#This Row],[Başlangıç]]="","",(IF(Tablo2[[#This Row],[Bitiş]]="",($G$1-Tablo2[[#This Row],[Başlangıç]])*24,(Tablo2[[#This Row],[Bitiş]]-Tablo2[[#This Row],[Başlangıç]])*24)))</f>
        <v>0</v>
      </c>
    </row>
    <row r="162" spans="1:5" x14ac:dyDescent="0.3">
      <c r="A162">
        <v>219</v>
      </c>
      <c r="B162" t="s">
        <v>37</v>
      </c>
      <c r="C162" s="1">
        <v>44442.333333333336</v>
      </c>
      <c r="D162" s="1">
        <v>44452.065972222219</v>
      </c>
      <c r="E162" s="17">
        <f>IF(Tablo2[[#This Row],[Başlangıç]]="","",(IF(Tablo2[[#This Row],[Bitiş]]="",($G$1-Tablo2[[#This Row],[Başlangıç]])*24,(Tablo2[[#This Row],[Bitiş]]-Tablo2[[#This Row],[Başlangıç]])*24)))</f>
        <v>233.58333333319752</v>
      </c>
    </row>
    <row r="163" spans="1:5" x14ac:dyDescent="0.3">
      <c r="A163">
        <v>219</v>
      </c>
      <c r="B163" t="s">
        <v>65</v>
      </c>
      <c r="C163" s="1">
        <v>44444.121527777781</v>
      </c>
      <c r="D163" s="1">
        <v>44452.527777777781</v>
      </c>
      <c r="E163" s="17">
        <f>IF(Tablo2[[#This Row],[Başlangıç]]="","",(IF(Tablo2[[#This Row],[Bitiş]]="",($G$1-Tablo2[[#This Row],[Başlangıç]])*24,(Tablo2[[#This Row],[Bitiş]]-Tablo2[[#This Row],[Başlangıç]])*24)))</f>
        <v>201.75</v>
      </c>
    </row>
    <row r="164" spans="1:5" x14ac:dyDescent="0.3">
      <c r="A164">
        <v>220</v>
      </c>
      <c r="B164" t="s">
        <v>36</v>
      </c>
      <c r="C164" s="1"/>
      <c r="D164" s="1"/>
      <c r="E164" s="17" t="str">
        <f>IF(Tablo2[[#This Row],[Başlangıç]]="","",(IF(Tablo2[[#This Row],[Bitiş]]="",($G$1-Tablo2[[#This Row],[Başlangıç]])*24,(Tablo2[[#This Row],[Bitiş]]-Tablo2[[#This Row],[Başlangıç]])*24)))</f>
        <v/>
      </c>
    </row>
    <row r="165" spans="1:5" x14ac:dyDescent="0.3">
      <c r="A165">
        <v>220</v>
      </c>
      <c r="B165" t="s">
        <v>84</v>
      </c>
      <c r="C165" s="1"/>
      <c r="D165" s="1"/>
      <c r="E165" s="17" t="str">
        <f>IF(Tablo2[[#This Row],[Başlangıç]]="","",(IF(Tablo2[[#This Row],[Bitiş]]="",($G$1-Tablo2[[#This Row],[Başlangıç]])*24,(Tablo2[[#This Row],[Bitiş]]-Tablo2[[#This Row],[Başlangıç]])*24)))</f>
        <v/>
      </c>
    </row>
    <row r="166" spans="1:5" x14ac:dyDescent="0.3">
      <c r="A166">
        <v>220</v>
      </c>
      <c r="B166" t="s">
        <v>179</v>
      </c>
      <c r="C166" s="1">
        <v>44426.3125</v>
      </c>
      <c r="D166" s="1">
        <v>44426.333333333336</v>
      </c>
      <c r="E16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7" spans="1:5" x14ac:dyDescent="0.3">
      <c r="A167">
        <v>220</v>
      </c>
      <c r="B167" t="s">
        <v>68</v>
      </c>
      <c r="C167" s="1"/>
      <c r="D167" s="1"/>
      <c r="E167" s="17" t="str">
        <f>IF(Tablo2[[#This Row],[Başlangıç]]="","",(IF(Tablo2[[#This Row],[Bitiş]]="",($G$1-Tablo2[[#This Row],[Başlangıç]])*24,(Tablo2[[#This Row],[Bitiş]]-Tablo2[[#This Row],[Başlangıç]])*24)))</f>
        <v/>
      </c>
    </row>
    <row r="168" spans="1:5" x14ac:dyDescent="0.3">
      <c r="A168">
        <v>220</v>
      </c>
      <c r="B168" t="s">
        <v>37</v>
      </c>
      <c r="C168" s="1"/>
      <c r="D168" s="1"/>
      <c r="E168" s="17" t="str">
        <f>IF(Tablo2[[#This Row],[Başlangıç]]="","",(IF(Tablo2[[#This Row],[Bitiş]]="",($G$1-Tablo2[[#This Row],[Başlangıç]])*24,(Tablo2[[#This Row],[Bitiş]]-Tablo2[[#This Row],[Başlangıç]])*24)))</f>
        <v/>
      </c>
    </row>
    <row r="169" spans="1:5" x14ac:dyDescent="0.3">
      <c r="A169">
        <v>220</v>
      </c>
      <c r="B169" t="s">
        <v>65</v>
      </c>
      <c r="C169" s="1"/>
      <c r="D169" s="1"/>
      <c r="E169" s="17" t="str">
        <f>IF(Tablo2[[#This Row],[Başlangıç]]="","",(IF(Tablo2[[#This Row],[Bitiş]]="",($G$1-Tablo2[[#This Row],[Başlangıç]])*24,(Tablo2[[#This Row],[Bitiş]]-Tablo2[[#This Row],[Başlangıç]])*24)))</f>
        <v/>
      </c>
    </row>
    <row r="170" spans="1:5" x14ac:dyDescent="0.3">
      <c r="A170">
        <v>221</v>
      </c>
      <c r="B170" t="s">
        <v>36</v>
      </c>
      <c r="C170" s="1"/>
      <c r="D170" s="1"/>
      <c r="E170" s="17" t="str">
        <f>IF(Tablo2[[#This Row],[Başlangıç]]="","",(IF(Tablo2[[#This Row],[Bitiş]]="",($G$1-Tablo2[[#This Row],[Başlangıç]])*24,(Tablo2[[#This Row],[Bitiş]]-Tablo2[[#This Row],[Başlangıç]])*24)))</f>
        <v/>
      </c>
    </row>
    <row r="171" spans="1:5" x14ac:dyDescent="0.3">
      <c r="A171">
        <v>221</v>
      </c>
      <c r="B171" t="s">
        <v>84</v>
      </c>
      <c r="C171" s="1"/>
      <c r="D171" s="1"/>
      <c r="E171" s="17" t="str">
        <f>IF(Tablo2[[#This Row],[Başlangıç]]="","",(IF(Tablo2[[#This Row],[Bitiş]]="",($G$1-Tablo2[[#This Row],[Başlangıç]])*24,(Tablo2[[#This Row],[Bitiş]]-Tablo2[[#This Row],[Başlangıç]])*24)))</f>
        <v/>
      </c>
    </row>
    <row r="172" spans="1:5" x14ac:dyDescent="0.3">
      <c r="A172">
        <v>221</v>
      </c>
      <c r="B172" t="s">
        <v>179</v>
      </c>
      <c r="C172" s="1">
        <v>44426.875</v>
      </c>
      <c r="D172" s="1">
        <v>44426.895833333336</v>
      </c>
      <c r="E1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3" spans="1:5" x14ac:dyDescent="0.3">
      <c r="A173">
        <v>221</v>
      </c>
      <c r="B173" t="s">
        <v>68</v>
      </c>
      <c r="C173" s="1"/>
      <c r="D173" s="1"/>
      <c r="E173" s="17" t="str">
        <f>IF(Tablo2[[#This Row],[Başlangıç]]="","",(IF(Tablo2[[#This Row],[Bitiş]]="",($G$1-Tablo2[[#This Row],[Başlangıç]])*24,(Tablo2[[#This Row],[Bitiş]]-Tablo2[[#This Row],[Başlangıç]])*24)))</f>
        <v/>
      </c>
    </row>
    <row r="174" spans="1:5" x14ac:dyDescent="0.3">
      <c r="A174">
        <v>221</v>
      </c>
      <c r="B174" t="s">
        <v>37</v>
      </c>
      <c r="C174" s="1"/>
      <c r="D174" s="1"/>
      <c r="E174" s="17" t="str">
        <f>IF(Tablo2[[#This Row],[Başlangıç]]="","",(IF(Tablo2[[#This Row],[Bitiş]]="",($G$1-Tablo2[[#This Row],[Başlangıç]])*24,(Tablo2[[#This Row],[Bitiş]]-Tablo2[[#This Row],[Başlangıç]])*24)))</f>
        <v/>
      </c>
    </row>
    <row r="175" spans="1:5" x14ac:dyDescent="0.3">
      <c r="A175">
        <v>221</v>
      </c>
      <c r="B175" t="s">
        <v>65</v>
      </c>
      <c r="C175" s="1"/>
      <c r="D175" s="1"/>
      <c r="E175" s="17" t="str">
        <f>IF(Tablo2[[#This Row],[Başlangıç]]="","",(IF(Tablo2[[#This Row],[Bitiş]]="",($G$1-Tablo2[[#This Row],[Başlangıç]])*24,(Tablo2[[#This Row],[Bitiş]]-Tablo2[[#This Row],[Başlangıç]])*24)))</f>
        <v/>
      </c>
    </row>
    <row r="176" spans="1:5" x14ac:dyDescent="0.3">
      <c r="A176">
        <v>222</v>
      </c>
      <c r="B176" t="s">
        <v>36</v>
      </c>
      <c r="C176" s="1"/>
      <c r="D176" s="1"/>
      <c r="E176" s="17" t="str">
        <f>IF(Tablo2[[#This Row],[Başlangıç]]="","",(IF(Tablo2[[#This Row],[Bitiş]]="",($G$1-Tablo2[[#This Row],[Başlangıç]])*24,(Tablo2[[#This Row],[Bitiş]]-Tablo2[[#This Row],[Başlangıç]])*24)))</f>
        <v/>
      </c>
    </row>
    <row r="177" spans="1:5" x14ac:dyDescent="0.3">
      <c r="A177">
        <v>222</v>
      </c>
      <c r="B177" t="s">
        <v>84</v>
      </c>
      <c r="C177" s="1"/>
      <c r="D177" s="1"/>
      <c r="E177" s="17" t="str">
        <f>IF(Tablo2[[#This Row],[Başlangıç]]="","",(IF(Tablo2[[#This Row],[Bitiş]]="",($G$1-Tablo2[[#This Row],[Başlangıç]])*24,(Tablo2[[#This Row],[Bitiş]]-Tablo2[[#This Row],[Başlangıç]])*24)))</f>
        <v/>
      </c>
    </row>
    <row r="178" spans="1:5" x14ac:dyDescent="0.3">
      <c r="A178">
        <v>222</v>
      </c>
      <c r="B178" t="s">
        <v>179</v>
      </c>
      <c r="C178" s="1">
        <v>44427.520833333336</v>
      </c>
      <c r="D178" s="1">
        <v>44427.541666666664</v>
      </c>
      <c r="E17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79" spans="1:5" x14ac:dyDescent="0.3">
      <c r="A179">
        <v>222</v>
      </c>
      <c r="B179" t="s">
        <v>68</v>
      </c>
      <c r="C179" s="1"/>
      <c r="D179" s="1"/>
      <c r="E179" s="17" t="str">
        <f>IF(Tablo2[[#This Row],[Başlangıç]]="","",(IF(Tablo2[[#This Row],[Bitiş]]="",($G$1-Tablo2[[#This Row],[Başlangıç]])*24,(Tablo2[[#This Row],[Bitiş]]-Tablo2[[#This Row],[Başlangıç]])*24)))</f>
        <v/>
      </c>
    </row>
    <row r="180" spans="1:5" x14ac:dyDescent="0.3">
      <c r="A180">
        <v>222</v>
      </c>
      <c r="B180" t="s">
        <v>37</v>
      </c>
      <c r="C180" s="1"/>
      <c r="D180" s="1"/>
      <c r="E180" s="17" t="str">
        <f>IF(Tablo2[[#This Row],[Başlangıç]]="","",(IF(Tablo2[[#This Row],[Bitiş]]="",($G$1-Tablo2[[#This Row],[Başlangıç]])*24,(Tablo2[[#This Row],[Bitiş]]-Tablo2[[#This Row],[Başlangıç]])*24)))</f>
        <v/>
      </c>
    </row>
    <row r="181" spans="1:5" x14ac:dyDescent="0.3">
      <c r="A181">
        <v>222</v>
      </c>
      <c r="B181" t="s">
        <v>65</v>
      </c>
      <c r="C181" s="1"/>
      <c r="D181" s="1"/>
      <c r="E181" s="17" t="str">
        <f>IF(Tablo2[[#This Row],[Başlangıç]]="","",(IF(Tablo2[[#This Row],[Bitiş]]="",($G$1-Tablo2[[#This Row],[Başlangıç]])*24,(Tablo2[[#This Row],[Bitiş]]-Tablo2[[#This Row],[Başlangıç]])*24)))</f>
        <v/>
      </c>
    </row>
    <row r="182" spans="1:5" x14ac:dyDescent="0.3">
      <c r="A182">
        <v>223</v>
      </c>
      <c r="B182" t="s">
        <v>36</v>
      </c>
      <c r="C182" s="1">
        <v>44434.166666666664</v>
      </c>
      <c r="D182" s="1">
        <v>44435.518055555556</v>
      </c>
      <c r="E182" s="17">
        <f>IF(Tablo2[[#This Row],[Başlangıç]]="","",(IF(Tablo2[[#This Row],[Bitiş]]="",($G$1-Tablo2[[#This Row],[Başlangıç]])*24,(Tablo2[[#This Row],[Bitiş]]-Tablo2[[#This Row],[Başlangıç]])*24)))</f>
        <v>32.433333333407063</v>
      </c>
    </row>
    <row r="183" spans="1:5" x14ac:dyDescent="0.3">
      <c r="A183">
        <v>223</v>
      </c>
      <c r="B183" t="s">
        <v>84</v>
      </c>
      <c r="C183" s="1"/>
      <c r="D183" s="1"/>
      <c r="E1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84" spans="1:5" x14ac:dyDescent="0.3">
      <c r="A184">
        <v>223</v>
      </c>
      <c r="B184" t="s">
        <v>179</v>
      </c>
      <c r="C184" s="1">
        <v>44427.927083333336</v>
      </c>
      <c r="D184" s="1">
        <v>44427.947916666664</v>
      </c>
      <c r="E18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5" spans="1:5" x14ac:dyDescent="0.3">
      <c r="A185">
        <v>223</v>
      </c>
      <c r="B185" t="s">
        <v>68</v>
      </c>
      <c r="C185" s="1"/>
      <c r="D185" s="1"/>
      <c r="E1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86" spans="1:5" x14ac:dyDescent="0.3">
      <c r="A186">
        <v>223</v>
      </c>
      <c r="B186" t="s">
        <v>37</v>
      </c>
      <c r="C186" s="1">
        <v>44434.583333333336</v>
      </c>
      <c r="D186" s="1">
        <v>44434.625</v>
      </c>
      <c r="E186" s="17">
        <f>IF(Tablo2[[#This Row],[Başlangıç]]="","",(IF(Tablo2[[#This Row],[Bitiş]]="",($G$1-Tablo2[[#This Row],[Başlangıç]])*24,(Tablo2[[#This Row],[Bitiş]]-Tablo2[[#This Row],[Başlangıç]])*24)))</f>
        <v>0.99999999994179234</v>
      </c>
    </row>
    <row r="187" spans="1:5" x14ac:dyDescent="0.3">
      <c r="A187">
        <v>223</v>
      </c>
      <c r="B187" t="s">
        <v>65</v>
      </c>
      <c r="C187" s="1"/>
      <c r="D187" s="1"/>
      <c r="E187" s="17" t="str">
        <f>IF(Tablo2[[#This Row],[Başlangıç]]="","",(IF(Tablo2[[#This Row],[Bitiş]]="",($G$1-Tablo2[[#This Row],[Başlangıç]])*24,(Tablo2[[#This Row],[Bitiş]]-Tablo2[[#This Row],[Başlangıç]])*24)))</f>
        <v/>
      </c>
    </row>
    <row r="188" spans="1:5" x14ac:dyDescent="0.3">
      <c r="A188">
        <v>224</v>
      </c>
      <c r="B188" t="s">
        <v>36</v>
      </c>
      <c r="C188" s="1">
        <v>44429.25</v>
      </c>
      <c r="D188" s="1">
        <v>44439.949305555558</v>
      </c>
      <c r="E188" s="17">
        <f>IF(Tablo2[[#This Row],[Başlangıç]]="","",(IF(Tablo2[[#This Row],[Bitiş]]="",($G$1-Tablo2[[#This Row],[Başlangıç]])*24,(Tablo2[[#This Row],[Bitiş]]-Tablo2[[#This Row],[Başlangıç]])*24)))</f>
        <v>256.78333333338378</v>
      </c>
    </row>
    <row r="189" spans="1:5" x14ac:dyDescent="0.3">
      <c r="A189">
        <v>224</v>
      </c>
      <c r="B189" t="s">
        <v>84</v>
      </c>
      <c r="C189" s="1">
        <v>44439.625</v>
      </c>
      <c r="D189" s="1">
        <v>44439.75</v>
      </c>
      <c r="E189" s="17">
        <f>IF(Tablo2[[#This Row],[Başlangıç]]="","",(IF(Tablo2[[#This Row],[Bitiş]]="",($G$1-Tablo2[[#This Row],[Başlangıç]])*24,(Tablo2[[#This Row],[Bitiş]]-Tablo2[[#This Row],[Başlangıç]])*24)))</f>
        <v>3</v>
      </c>
    </row>
    <row r="190" spans="1:5" x14ac:dyDescent="0.3">
      <c r="A190">
        <v>224</v>
      </c>
      <c r="B190" t="s">
        <v>179</v>
      </c>
      <c r="C190" s="1">
        <v>44428.435416666667</v>
      </c>
      <c r="D190" s="1">
        <v>44428.456250000003</v>
      </c>
      <c r="E19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1" spans="1:5" x14ac:dyDescent="0.3">
      <c r="A191">
        <v>224</v>
      </c>
      <c r="B191" t="s">
        <v>68</v>
      </c>
      <c r="C191" s="1">
        <v>44439.666666666664</v>
      </c>
      <c r="D191" s="1">
        <v>44440.541666666664</v>
      </c>
      <c r="E191" s="17">
        <f>IF(Tablo2[[#This Row],[Başlangıç]]="","",(IF(Tablo2[[#This Row],[Bitiş]]="",($G$1-Tablo2[[#This Row],[Başlangıç]])*24,(Tablo2[[#This Row],[Bitiş]]-Tablo2[[#This Row],[Başlangıç]])*24)))</f>
        <v>21</v>
      </c>
    </row>
    <row r="192" spans="1:5" x14ac:dyDescent="0.3">
      <c r="A192">
        <v>224</v>
      </c>
      <c r="B192" t="s">
        <v>37</v>
      </c>
      <c r="C192" s="1">
        <v>44438.5</v>
      </c>
      <c r="D192" s="1">
        <v>44441.5</v>
      </c>
      <c r="E192" s="17">
        <f>IF(Tablo2[[#This Row],[Başlangıç]]="","",(IF(Tablo2[[#This Row],[Bitiş]]="",($G$1-Tablo2[[#This Row],[Başlangıç]])*24,(Tablo2[[#This Row],[Bitiş]]-Tablo2[[#This Row],[Başlangıç]])*24)))</f>
        <v>72</v>
      </c>
    </row>
    <row r="193" spans="1:5" x14ac:dyDescent="0.3">
      <c r="A193">
        <v>224</v>
      </c>
      <c r="B193" t="s">
        <v>65</v>
      </c>
      <c r="C193" s="1">
        <v>44439.413194444445</v>
      </c>
      <c r="D193" s="1">
        <v>44440.541666666664</v>
      </c>
      <c r="E193" s="17">
        <f>IF(Tablo2[[#This Row],[Başlangıç]]="","",(IF(Tablo2[[#This Row],[Bitiş]]="",($G$1-Tablo2[[#This Row],[Başlangıç]])*24,(Tablo2[[#This Row],[Bitiş]]-Tablo2[[#This Row],[Başlangıç]])*24)))</f>
        <v>27.083333333255723</v>
      </c>
    </row>
    <row r="194" spans="1:5" x14ac:dyDescent="0.3">
      <c r="A194">
        <v>225</v>
      </c>
      <c r="B194" t="s">
        <v>36</v>
      </c>
      <c r="C194" s="1"/>
      <c r="D194" s="1"/>
      <c r="E194" s="17" t="str">
        <f>IF(Tablo2[[#This Row],[Başlangıç]]="","",(IF(Tablo2[[#This Row],[Bitiş]]="",($G$1-Tablo2[[#This Row],[Başlangıç]])*24,(Tablo2[[#This Row],[Bitiş]]-Tablo2[[#This Row],[Başlangıç]])*24)))</f>
        <v/>
      </c>
    </row>
    <row r="195" spans="1:5" x14ac:dyDescent="0.3">
      <c r="A195">
        <v>225</v>
      </c>
      <c r="B195" t="s">
        <v>84</v>
      </c>
      <c r="C195" s="1"/>
      <c r="D195" s="1"/>
      <c r="E195" s="17" t="str">
        <f>IF(Tablo2[[#This Row],[Başlangıç]]="","",(IF(Tablo2[[#This Row],[Bitiş]]="",($G$1-Tablo2[[#This Row],[Başlangıç]])*24,(Tablo2[[#This Row],[Bitiş]]-Tablo2[[#This Row],[Başlangıç]])*24)))</f>
        <v/>
      </c>
    </row>
    <row r="196" spans="1:5" x14ac:dyDescent="0.3">
      <c r="A196">
        <v>225</v>
      </c>
      <c r="B196" t="s">
        <v>179</v>
      </c>
      <c r="C196" s="1"/>
      <c r="D196" s="1"/>
      <c r="E196" s="17" t="str">
        <f>IF(Tablo2[[#This Row],[Başlangıç]]="","",(IF(Tablo2[[#This Row],[Bitiş]]="",($G$1-Tablo2[[#This Row],[Başlangıç]])*24,(Tablo2[[#This Row],[Bitiş]]-Tablo2[[#This Row],[Başlangıç]])*24)))</f>
        <v/>
      </c>
    </row>
    <row r="197" spans="1:5" x14ac:dyDescent="0.3">
      <c r="A197">
        <v>225</v>
      </c>
      <c r="B197" t="s">
        <v>68</v>
      </c>
      <c r="C197" s="1"/>
      <c r="D197" s="1"/>
      <c r="E197" s="17" t="str">
        <f>IF(Tablo2[[#This Row],[Başlangıç]]="","",(IF(Tablo2[[#This Row],[Bitiş]]="",($G$1-Tablo2[[#This Row],[Başlangıç]])*24,(Tablo2[[#This Row],[Bitiş]]-Tablo2[[#This Row],[Başlangıç]])*24)))</f>
        <v/>
      </c>
    </row>
    <row r="198" spans="1:5" x14ac:dyDescent="0.3">
      <c r="A198">
        <v>225</v>
      </c>
      <c r="B198" t="s">
        <v>37</v>
      </c>
      <c r="C198" s="1"/>
      <c r="D198" s="1"/>
      <c r="E198" s="17" t="str">
        <f>IF(Tablo2[[#This Row],[Başlangıç]]="","",(IF(Tablo2[[#This Row],[Bitiş]]="",($G$1-Tablo2[[#This Row],[Başlangıç]])*24,(Tablo2[[#This Row],[Bitiş]]-Tablo2[[#This Row],[Başlangıç]])*24)))</f>
        <v/>
      </c>
    </row>
    <row r="199" spans="1:5" x14ac:dyDescent="0.3">
      <c r="A199">
        <v>225</v>
      </c>
      <c r="B199" t="s">
        <v>65</v>
      </c>
      <c r="C199" s="1"/>
      <c r="D199" s="1"/>
      <c r="E199" s="17" t="str">
        <f>IF(Tablo2[[#This Row],[Başlangıç]]="","",(IF(Tablo2[[#This Row],[Bitiş]]="",($G$1-Tablo2[[#This Row],[Başlangıç]])*24,(Tablo2[[#This Row],[Bitiş]]-Tablo2[[#This Row],[Başlangıç]])*24)))</f>
        <v/>
      </c>
    </row>
    <row r="200" spans="1:5" x14ac:dyDescent="0.3">
      <c r="A200">
        <v>226</v>
      </c>
      <c r="B200" t="s">
        <v>36</v>
      </c>
      <c r="C200" s="1">
        <v>44436.5</v>
      </c>
      <c r="D200" s="1">
        <v>44440.541666666664</v>
      </c>
      <c r="E200" s="17">
        <f>IF(Tablo2[[#This Row],[Başlangıç]]="","",(IF(Tablo2[[#This Row],[Bitiş]]="",($G$1-Tablo2[[#This Row],[Başlangıç]])*24,(Tablo2[[#This Row],[Bitiş]]-Tablo2[[#This Row],[Başlangıç]])*24)))</f>
        <v>96.999999999941792</v>
      </c>
    </row>
    <row r="201" spans="1:5" x14ac:dyDescent="0.3">
      <c r="A201">
        <v>226</v>
      </c>
      <c r="B201" t="s">
        <v>84</v>
      </c>
      <c r="C201" s="1">
        <v>44443.947916666664</v>
      </c>
      <c r="D201" s="1">
        <v>44444.479166666664</v>
      </c>
      <c r="E201" s="17">
        <f>IF(Tablo2[[#This Row],[Başlangıç]]="","",(IF(Tablo2[[#This Row],[Bitiş]]="",($G$1-Tablo2[[#This Row],[Başlangıç]])*24,(Tablo2[[#This Row],[Bitiş]]-Tablo2[[#This Row],[Başlangıç]])*24)))</f>
        <v>12.75</v>
      </c>
    </row>
    <row r="202" spans="1:5" x14ac:dyDescent="0.3">
      <c r="A202">
        <v>226</v>
      </c>
      <c r="B202" t="s">
        <v>179</v>
      </c>
      <c r="C202" s="1">
        <v>44429.25</v>
      </c>
      <c r="D202" s="1">
        <v>44429.270833333336</v>
      </c>
      <c r="E20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3" spans="1:5" x14ac:dyDescent="0.3">
      <c r="A203">
        <v>226</v>
      </c>
      <c r="B203" t="s">
        <v>68</v>
      </c>
      <c r="C203" s="1">
        <v>44443.680555555555</v>
      </c>
      <c r="D203" s="1">
        <v>44445.611111111109</v>
      </c>
      <c r="E203" s="17">
        <f>IF(Tablo2[[#This Row],[Başlangıç]]="","",(IF(Tablo2[[#This Row],[Bitiş]]="",($G$1-Tablo2[[#This Row],[Başlangıç]])*24,(Tablo2[[#This Row],[Bitiş]]-Tablo2[[#This Row],[Başlangıç]])*24)))</f>
        <v>46.333333333313931</v>
      </c>
    </row>
    <row r="204" spans="1:5" x14ac:dyDescent="0.3">
      <c r="A204">
        <v>226</v>
      </c>
      <c r="B204" t="s">
        <v>37</v>
      </c>
      <c r="C204" s="1">
        <v>44441.145833333336</v>
      </c>
      <c r="D204" s="1">
        <v>44443.742361111108</v>
      </c>
      <c r="E204" s="17">
        <f>IF(Tablo2[[#This Row],[Başlangıç]]="","",(IF(Tablo2[[#This Row],[Bitiş]]="",($G$1-Tablo2[[#This Row],[Başlangıç]])*24,(Tablo2[[#This Row],[Bitiş]]-Tablo2[[#This Row],[Başlangıç]])*24)))</f>
        <v>62.316666666534729</v>
      </c>
    </row>
    <row r="205" spans="1:5" x14ac:dyDescent="0.3">
      <c r="A205">
        <v>226</v>
      </c>
      <c r="B205" t="s">
        <v>65</v>
      </c>
      <c r="C205" s="1">
        <v>44442.726388888892</v>
      </c>
      <c r="D205" s="1">
        <v>44443.814583333333</v>
      </c>
      <c r="E205" s="17">
        <f>IF(Tablo2[[#This Row],[Başlangıç]]="","",(IF(Tablo2[[#This Row],[Bitiş]]="",($G$1-Tablo2[[#This Row],[Başlangıç]])*24,(Tablo2[[#This Row],[Bitiş]]-Tablo2[[#This Row],[Başlangıç]])*24)))</f>
        <v>26.116666666581295</v>
      </c>
    </row>
    <row r="206" spans="1:5" x14ac:dyDescent="0.3">
      <c r="A206">
        <v>227</v>
      </c>
      <c r="B206" t="s">
        <v>36</v>
      </c>
      <c r="C206" s="1"/>
      <c r="D206" s="1"/>
      <c r="E206" s="17" t="str">
        <f>IF(Tablo2[[#This Row],[Başlangıç]]="","",(IF(Tablo2[[#This Row],[Bitiş]]="",($G$1-Tablo2[[#This Row],[Başlangıç]])*24,(Tablo2[[#This Row],[Bitiş]]-Tablo2[[#This Row],[Başlangıç]])*24)))</f>
        <v/>
      </c>
    </row>
    <row r="207" spans="1:5" x14ac:dyDescent="0.3">
      <c r="A207">
        <v>227</v>
      </c>
      <c r="B207" t="s">
        <v>84</v>
      </c>
      <c r="C207" s="1"/>
      <c r="D207" s="1"/>
      <c r="E207" s="17" t="str">
        <f>IF(Tablo2[[#This Row],[Başlangıç]]="","",(IF(Tablo2[[#This Row],[Bitiş]]="",($G$1-Tablo2[[#This Row],[Başlangıç]])*24,(Tablo2[[#This Row],[Bitiş]]-Tablo2[[#This Row],[Başlangıç]])*24)))</f>
        <v/>
      </c>
    </row>
    <row r="208" spans="1:5" x14ac:dyDescent="0.3">
      <c r="A208">
        <v>227</v>
      </c>
      <c r="B208" t="s">
        <v>179</v>
      </c>
      <c r="C208" s="1"/>
      <c r="D208" s="1"/>
      <c r="E208" s="17" t="str">
        <f>IF(Tablo2[[#This Row],[Başlangıç]]="","",(IF(Tablo2[[#This Row],[Bitiş]]="",($G$1-Tablo2[[#This Row],[Başlangıç]])*24,(Tablo2[[#This Row],[Bitiş]]-Tablo2[[#This Row],[Başlangıç]])*24)))</f>
        <v/>
      </c>
    </row>
    <row r="209" spans="1:5" x14ac:dyDescent="0.3">
      <c r="A209">
        <v>227</v>
      </c>
      <c r="B209" t="s">
        <v>68</v>
      </c>
      <c r="C209" s="1"/>
      <c r="D209" s="1"/>
      <c r="E209" s="17" t="str">
        <f>IF(Tablo2[[#This Row],[Başlangıç]]="","",(IF(Tablo2[[#This Row],[Bitiş]]="",($G$1-Tablo2[[#This Row],[Başlangıç]])*24,(Tablo2[[#This Row],[Bitiş]]-Tablo2[[#This Row],[Başlangıç]])*24)))</f>
        <v/>
      </c>
    </row>
    <row r="210" spans="1:5" x14ac:dyDescent="0.3">
      <c r="A210">
        <v>227</v>
      </c>
      <c r="B210" t="s">
        <v>37</v>
      </c>
      <c r="C210" s="1"/>
      <c r="D210" s="1"/>
      <c r="E210" s="17" t="str">
        <f>IF(Tablo2[[#This Row],[Başlangıç]]="","",(IF(Tablo2[[#This Row],[Bitiş]]="",($G$1-Tablo2[[#This Row],[Başlangıç]])*24,(Tablo2[[#This Row],[Bitiş]]-Tablo2[[#This Row],[Başlangıç]])*24)))</f>
        <v/>
      </c>
    </row>
    <row r="211" spans="1:5" x14ac:dyDescent="0.3">
      <c r="A211">
        <v>227</v>
      </c>
      <c r="B211" t="s">
        <v>65</v>
      </c>
      <c r="C211" s="1"/>
      <c r="D211" s="1"/>
      <c r="E211" s="17" t="str">
        <f>IF(Tablo2[[#This Row],[Başlangıç]]="","",(IF(Tablo2[[#This Row],[Bitiş]]="",($G$1-Tablo2[[#This Row],[Başlangıç]])*24,(Tablo2[[#This Row],[Bitiş]]-Tablo2[[#This Row],[Başlangıç]])*24)))</f>
        <v/>
      </c>
    </row>
    <row r="212" spans="1:5" x14ac:dyDescent="0.3">
      <c r="A212">
        <v>228</v>
      </c>
      <c r="B212" t="s">
        <v>36</v>
      </c>
      <c r="C212" s="1">
        <v>44430.40625</v>
      </c>
      <c r="D212" s="1">
        <v>44430.427083333336</v>
      </c>
      <c r="E21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3" spans="1:5" x14ac:dyDescent="0.3">
      <c r="A213">
        <v>228</v>
      </c>
      <c r="B213" t="s">
        <v>84</v>
      </c>
      <c r="C213" s="1">
        <v>44430.40625</v>
      </c>
      <c r="D213" s="1">
        <v>44430.427083333336</v>
      </c>
      <c r="E213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4" spans="1:5" x14ac:dyDescent="0.3">
      <c r="A214">
        <v>228</v>
      </c>
      <c r="B214" t="s">
        <v>179</v>
      </c>
      <c r="C214" s="1">
        <v>44430.40625</v>
      </c>
      <c r="D214" s="1">
        <v>44430.427083333336</v>
      </c>
      <c r="E2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5" spans="1:5" x14ac:dyDescent="0.3">
      <c r="A215">
        <v>228</v>
      </c>
      <c r="B215" t="s">
        <v>68</v>
      </c>
      <c r="C215" s="1">
        <v>44439.416666666664</v>
      </c>
      <c r="D215" s="1">
        <v>44442.763888888891</v>
      </c>
      <c r="E215" s="17">
        <f>IF(Tablo2[[#This Row],[Başlangıç]]="","",(IF(Tablo2[[#This Row],[Bitiş]]="",($G$1-Tablo2[[#This Row],[Başlangıç]])*24,(Tablo2[[#This Row],[Bitiş]]-Tablo2[[#This Row],[Başlangıç]])*24)))</f>
        <v>80.333333333430346</v>
      </c>
    </row>
    <row r="216" spans="1:5" x14ac:dyDescent="0.3">
      <c r="A216">
        <v>228</v>
      </c>
      <c r="B216" t="s">
        <v>37</v>
      </c>
      <c r="C216" s="1">
        <v>44430.40625</v>
      </c>
      <c r="D216" s="1">
        <v>44440.541666666664</v>
      </c>
      <c r="E216" s="17">
        <f>IF(Tablo2[[#This Row],[Başlangıç]]="","",(IF(Tablo2[[#This Row],[Bitiş]]="",($G$1-Tablo2[[#This Row],[Başlangıç]])*24,(Tablo2[[#This Row],[Bitiş]]-Tablo2[[#This Row],[Başlangıç]])*24)))</f>
        <v>243.24999999994179</v>
      </c>
    </row>
    <row r="217" spans="1:5" x14ac:dyDescent="0.3">
      <c r="A217">
        <v>228</v>
      </c>
      <c r="B217" t="s">
        <v>65</v>
      </c>
      <c r="C217" s="1">
        <v>44430.40625</v>
      </c>
      <c r="D217" s="1">
        <v>44440.541666666664</v>
      </c>
      <c r="E217" s="17">
        <f>IF(Tablo2[[#This Row],[Başlangıç]]="","",(IF(Tablo2[[#This Row],[Bitiş]]="",($G$1-Tablo2[[#This Row],[Başlangıç]])*24,(Tablo2[[#This Row],[Bitiş]]-Tablo2[[#This Row],[Başlangıç]])*24)))</f>
        <v>243.24999999994179</v>
      </c>
    </row>
    <row r="218" spans="1:5" x14ac:dyDescent="0.3">
      <c r="A218">
        <v>229</v>
      </c>
      <c r="B218" t="s">
        <v>36</v>
      </c>
      <c r="C218" s="1">
        <v>44430.302083333336</v>
      </c>
      <c r="D218" s="1">
        <v>44430.322916666664</v>
      </c>
      <c r="E21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19" spans="1:5" x14ac:dyDescent="0.3">
      <c r="A219">
        <v>229</v>
      </c>
      <c r="B219" t="s">
        <v>84</v>
      </c>
      <c r="C219" s="1">
        <v>44430.302083333336</v>
      </c>
      <c r="D219" s="1">
        <v>44430.322916666664</v>
      </c>
      <c r="E219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20" spans="1:5" x14ac:dyDescent="0.3">
      <c r="A220">
        <v>229</v>
      </c>
      <c r="B220" t="s">
        <v>179</v>
      </c>
      <c r="C220" s="1">
        <v>44430.302083333336</v>
      </c>
      <c r="D220" s="1">
        <v>44430.322916666664</v>
      </c>
      <c r="E22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21" spans="1:5" x14ac:dyDescent="0.3">
      <c r="A221">
        <v>229</v>
      </c>
      <c r="B221" t="s">
        <v>68</v>
      </c>
      <c r="C221" s="1">
        <v>44430.302083333336</v>
      </c>
      <c r="D221" s="1">
        <v>44440.5</v>
      </c>
      <c r="E221" s="17">
        <f>IF(Tablo2[[#This Row],[Başlangıç]]="","",(IF(Tablo2[[#This Row],[Bitiş]]="",($G$1-Tablo2[[#This Row],[Başlangıç]])*24,(Tablo2[[#This Row],[Bitiş]]-Tablo2[[#This Row],[Başlangıç]])*24)))</f>
        <v>244.74999999994179</v>
      </c>
    </row>
    <row r="222" spans="1:5" x14ac:dyDescent="0.3">
      <c r="A222">
        <v>229</v>
      </c>
      <c r="B222" t="s">
        <v>37</v>
      </c>
      <c r="C222" s="1">
        <v>44430.302083333336</v>
      </c>
      <c r="D222" s="1">
        <v>44440.541666666664</v>
      </c>
      <c r="E222" s="17">
        <f>IF(Tablo2[[#This Row],[Başlangıç]]="","",(IF(Tablo2[[#This Row],[Bitiş]]="",($G$1-Tablo2[[#This Row],[Başlangıç]])*24,(Tablo2[[#This Row],[Bitiş]]-Tablo2[[#This Row],[Başlangıç]])*24)))</f>
        <v>245.74999999988358</v>
      </c>
    </row>
    <row r="223" spans="1:5" x14ac:dyDescent="0.3">
      <c r="A223">
        <v>229</v>
      </c>
      <c r="B223" t="s">
        <v>65</v>
      </c>
      <c r="C223" s="1">
        <v>44430.302083333336</v>
      </c>
      <c r="D223" s="1">
        <v>44440.541666666664</v>
      </c>
      <c r="E223" s="17">
        <f>IF(Tablo2[[#This Row],[Başlangıç]]="","",(IF(Tablo2[[#This Row],[Bitiş]]="",($G$1-Tablo2[[#This Row],[Başlangıç]])*24,(Tablo2[[#This Row],[Bitiş]]-Tablo2[[#This Row],[Başlangıç]])*24)))</f>
        <v>245.74999999988358</v>
      </c>
    </row>
    <row r="224" spans="1:5" x14ac:dyDescent="0.3">
      <c r="A224">
        <v>230</v>
      </c>
      <c r="B224" t="s">
        <v>36</v>
      </c>
      <c r="C224" s="1">
        <v>44439.5</v>
      </c>
      <c r="D224" s="1">
        <v>44439.75</v>
      </c>
      <c r="E224" s="17">
        <f>IF(Tablo2[[#This Row],[Başlangıç]]="","",(IF(Tablo2[[#This Row],[Bitiş]]="",($G$1-Tablo2[[#This Row],[Başlangıç]])*24,(Tablo2[[#This Row],[Bitiş]]-Tablo2[[#This Row],[Başlangıç]])*24)))</f>
        <v>6</v>
      </c>
    </row>
    <row r="225" spans="1:5" x14ac:dyDescent="0.3">
      <c r="A225">
        <v>230</v>
      </c>
      <c r="B225" t="s">
        <v>84</v>
      </c>
      <c r="C225" s="1">
        <v>44439.5</v>
      </c>
      <c r="D225" s="1">
        <v>44439.75</v>
      </c>
      <c r="E225" s="17">
        <f>IF(Tablo2[[#This Row],[Başlangıç]]="","",(IF(Tablo2[[#This Row],[Bitiş]]="",($G$1-Tablo2[[#This Row],[Başlangıç]])*24,(Tablo2[[#This Row],[Bitiş]]-Tablo2[[#This Row],[Başlangıç]])*24)))</f>
        <v>6</v>
      </c>
    </row>
    <row r="226" spans="1:5" x14ac:dyDescent="0.3">
      <c r="A226">
        <v>230</v>
      </c>
      <c r="B226" t="s">
        <v>179</v>
      </c>
      <c r="C226" s="1">
        <v>44432.302083333336</v>
      </c>
      <c r="D226" s="1">
        <v>44432.322916666664</v>
      </c>
      <c r="E22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27" spans="1:5" x14ac:dyDescent="0.3">
      <c r="A227">
        <v>230</v>
      </c>
      <c r="B227" t="s">
        <v>68</v>
      </c>
      <c r="C227" s="1">
        <v>44439.5</v>
      </c>
      <c r="D227" s="1">
        <v>44440.541666666664</v>
      </c>
      <c r="E227" s="17">
        <f>IF(Tablo2[[#This Row],[Başlangıç]]="","",(IF(Tablo2[[#This Row],[Bitiş]]="",($G$1-Tablo2[[#This Row],[Başlangıç]])*24,(Tablo2[[#This Row],[Bitiş]]-Tablo2[[#This Row],[Başlangıç]])*24)))</f>
        <v>24.999999999941792</v>
      </c>
    </row>
    <row r="228" spans="1:5" x14ac:dyDescent="0.3">
      <c r="A228">
        <v>230</v>
      </c>
      <c r="B228" t="s">
        <v>37</v>
      </c>
      <c r="C228" s="1">
        <v>44439.5</v>
      </c>
      <c r="D228" s="1">
        <v>44440.541666666664</v>
      </c>
      <c r="E228" s="17">
        <f>IF(Tablo2[[#This Row],[Başlangıç]]="","",(IF(Tablo2[[#This Row],[Bitiş]]="",($G$1-Tablo2[[#This Row],[Başlangıç]])*24,(Tablo2[[#This Row],[Bitiş]]-Tablo2[[#This Row],[Başlangıç]])*24)))</f>
        <v>24.999999999941792</v>
      </c>
    </row>
    <row r="229" spans="1:5" x14ac:dyDescent="0.3">
      <c r="A229">
        <v>230</v>
      </c>
      <c r="B229" t="s">
        <v>65</v>
      </c>
      <c r="C229" s="1">
        <v>44439.5</v>
      </c>
      <c r="D229" s="1">
        <v>44440.541666666664</v>
      </c>
      <c r="E229" s="17">
        <f>IF(Tablo2[[#This Row],[Başlangıç]]="","",(IF(Tablo2[[#This Row],[Bitiş]]="",($G$1-Tablo2[[#This Row],[Başlangıç]])*24,(Tablo2[[#This Row],[Bitiş]]-Tablo2[[#This Row],[Başlangıç]])*24)))</f>
        <v>24.999999999941792</v>
      </c>
    </row>
    <row r="230" spans="1:5" x14ac:dyDescent="0.3">
      <c r="A230">
        <v>231</v>
      </c>
      <c r="B230" t="s">
        <v>36</v>
      </c>
      <c r="C230" s="1">
        <v>44430.302083333336</v>
      </c>
      <c r="D230" s="1">
        <v>44430.322916666664</v>
      </c>
      <c r="E23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31" spans="1:5" x14ac:dyDescent="0.3">
      <c r="A231">
        <v>231</v>
      </c>
      <c r="B231" t="s">
        <v>84</v>
      </c>
      <c r="C231" s="1">
        <v>44430.302083333336</v>
      </c>
      <c r="D231" s="1">
        <v>44430.322916666664</v>
      </c>
      <c r="E231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32" spans="1:5" x14ac:dyDescent="0.3">
      <c r="A232">
        <v>231</v>
      </c>
      <c r="B232" t="s">
        <v>179</v>
      </c>
      <c r="C232" s="1">
        <v>44430.302083333336</v>
      </c>
      <c r="D232" s="1">
        <v>44430.322916666664</v>
      </c>
      <c r="E23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33" spans="1:5" x14ac:dyDescent="0.3">
      <c r="A233">
        <v>231</v>
      </c>
      <c r="B233" t="s">
        <v>68</v>
      </c>
      <c r="C233" s="1">
        <v>44430.302083333336</v>
      </c>
      <c r="D233" s="1">
        <v>44440.5</v>
      </c>
      <c r="E233" s="17">
        <f>IF(Tablo2[[#This Row],[Başlangıç]]="","",(IF(Tablo2[[#This Row],[Bitiş]]="",($G$1-Tablo2[[#This Row],[Başlangıç]])*24,(Tablo2[[#This Row],[Bitiş]]-Tablo2[[#This Row],[Başlangıç]])*24)))</f>
        <v>244.74999999994179</v>
      </c>
    </row>
    <row r="234" spans="1:5" x14ac:dyDescent="0.3">
      <c r="A234">
        <v>231</v>
      </c>
      <c r="B234" t="s">
        <v>37</v>
      </c>
      <c r="C234" s="1">
        <v>44430.302083333336</v>
      </c>
      <c r="D234" s="1">
        <v>44440.541666666664</v>
      </c>
      <c r="E234" s="17">
        <f>IF(Tablo2[[#This Row],[Başlangıç]]="","",(IF(Tablo2[[#This Row],[Bitiş]]="",($G$1-Tablo2[[#This Row],[Başlangıç]])*24,(Tablo2[[#This Row],[Bitiş]]-Tablo2[[#This Row],[Başlangıç]])*24)))</f>
        <v>245.74999999988358</v>
      </c>
    </row>
    <row r="235" spans="1:5" x14ac:dyDescent="0.3">
      <c r="A235">
        <v>231</v>
      </c>
      <c r="B235" t="s">
        <v>65</v>
      </c>
      <c r="C235" s="1">
        <v>44430.302083333336</v>
      </c>
      <c r="D235" s="1">
        <v>44440.541666666664</v>
      </c>
      <c r="E235" s="17">
        <f>IF(Tablo2[[#This Row],[Başlangıç]]="","",(IF(Tablo2[[#This Row],[Bitiş]]="",($G$1-Tablo2[[#This Row],[Başlangıç]])*24,(Tablo2[[#This Row],[Bitiş]]-Tablo2[[#This Row],[Başlangıç]])*24)))</f>
        <v>245.74999999988358</v>
      </c>
    </row>
    <row r="236" spans="1:5" x14ac:dyDescent="0.3">
      <c r="A236">
        <v>232</v>
      </c>
      <c r="B236" t="s">
        <v>36</v>
      </c>
      <c r="C236" s="1">
        <v>44433.8125</v>
      </c>
      <c r="D236" s="1">
        <v>44433.833333333336</v>
      </c>
      <c r="E2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37" spans="1:5" x14ac:dyDescent="0.3">
      <c r="A237">
        <v>232</v>
      </c>
      <c r="B237" t="s">
        <v>84</v>
      </c>
      <c r="C237" s="1">
        <v>44433.8125</v>
      </c>
      <c r="D237" s="1">
        <v>44433.833333333336</v>
      </c>
      <c r="E237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38" spans="1:5" x14ac:dyDescent="0.3">
      <c r="A238">
        <v>232</v>
      </c>
      <c r="B238" t="s">
        <v>179</v>
      </c>
      <c r="C238" s="1">
        <v>44433.8125</v>
      </c>
      <c r="D238" s="1">
        <v>44433.833333333336</v>
      </c>
      <c r="E23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39" spans="1:5" x14ac:dyDescent="0.3">
      <c r="A239">
        <v>232</v>
      </c>
      <c r="B239" t="s">
        <v>68</v>
      </c>
      <c r="C239" s="1">
        <v>44440.059027777781</v>
      </c>
      <c r="D239" s="1">
        <v>44441.833333333336</v>
      </c>
      <c r="E239" s="17">
        <f>IF(Tablo2[[#This Row],[Başlangıç]]="","",(IF(Tablo2[[#This Row],[Bitiş]]="",($G$1-Tablo2[[#This Row],[Başlangıç]])*24,(Tablo2[[#This Row],[Bitiş]]-Tablo2[[#This Row],[Başlangıç]])*24)))</f>
        <v>42.583333333313931</v>
      </c>
    </row>
    <row r="240" spans="1:5" x14ac:dyDescent="0.3">
      <c r="A240">
        <v>232</v>
      </c>
      <c r="B240" t="s">
        <v>37</v>
      </c>
      <c r="C240" s="1">
        <v>44433.8125</v>
      </c>
      <c r="D240" s="1">
        <v>44440.541666666664</v>
      </c>
      <c r="E240" s="17">
        <f>IF(Tablo2[[#This Row],[Başlangıç]]="","",(IF(Tablo2[[#This Row],[Bitiş]]="",($G$1-Tablo2[[#This Row],[Başlangıç]])*24,(Tablo2[[#This Row],[Bitiş]]-Tablo2[[#This Row],[Başlangıç]])*24)))</f>
        <v>161.49999999994179</v>
      </c>
    </row>
    <row r="241" spans="1:5" x14ac:dyDescent="0.3">
      <c r="A241">
        <v>232</v>
      </c>
      <c r="B241" t="s">
        <v>65</v>
      </c>
      <c r="C241" s="1">
        <v>44433.8125</v>
      </c>
      <c r="D241" s="1">
        <v>44440.541666666664</v>
      </c>
      <c r="E241" s="17">
        <f>IF(Tablo2[[#This Row],[Başlangıç]]="","",(IF(Tablo2[[#This Row],[Bitiş]]="",($G$1-Tablo2[[#This Row],[Başlangıç]])*24,(Tablo2[[#This Row],[Bitiş]]-Tablo2[[#This Row],[Başlangıç]])*24)))</f>
        <v>161.49999999994179</v>
      </c>
    </row>
    <row r="242" spans="1:5" x14ac:dyDescent="0.3">
      <c r="A242">
        <v>233</v>
      </c>
      <c r="B242" t="s">
        <v>36</v>
      </c>
      <c r="C242" s="1">
        <v>44434.260416666664</v>
      </c>
      <c r="D242" s="1">
        <v>44434.28125</v>
      </c>
      <c r="E24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43" spans="1:5" x14ac:dyDescent="0.3">
      <c r="A243">
        <v>233</v>
      </c>
      <c r="B243" t="s">
        <v>84</v>
      </c>
      <c r="C243" s="1">
        <v>44434.260416666664</v>
      </c>
      <c r="D243" s="1">
        <v>44434.28125</v>
      </c>
      <c r="E243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44" spans="1:5" x14ac:dyDescent="0.3">
      <c r="A244">
        <v>233</v>
      </c>
      <c r="B244" t="s">
        <v>179</v>
      </c>
      <c r="C244" s="1">
        <v>44434.260416666664</v>
      </c>
      <c r="D244" s="1">
        <v>44434.28125</v>
      </c>
      <c r="E24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45" spans="1:5" x14ac:dyDescent="0.3">
      <c r="A245">
        <v>233</v>
      </c>
      <c r="B245" t="s">
        <v>68</v>
      </c>
      <c r="C245" s="1">
        <v>44439.583333333336</v>
      </c>
      <c r="D245" s="1">
        <v>44441.578472222223</v>
      </c>
      <c r="E245" s="17">
        <f>IF(Tablo2[[#This Row],[Başlangıç]]="","",(IF(Tablo2[[#This Row],[Bitiş]]="",($G$1-Tablo2[[#This Row],[Başlangıç]])*24,(Tablo2[[#This Row],[Bitiş]]-Tablo2[[#This Row],[Başlangıç]])*24)))</f>
        <v>47.883333333302289</v>
      </c>
    </row>
    <row r="246" spans="1:5" x14ac:dyDescent="0.3">
      <c r="A246">
        <v>233</v>
      </c>
      <c r="B246" t="s">
        <v>37</v>
      </c>
      <c r="C246" s="1">
        <v>44434.260416666664</v>
      </c>
      <c r="D246" s="1">
        <v>44440.541666666664</v>
      </c>
      <c r="E246" s="17">
        <f>IF(Tablo2[[#This Row],[Başlangıç]]="","",(IF(Tablo2[[#This Row],[Bitiş]]="",($G$1-Tablo2[[#This Row],[Başlangıç]])*24,(Tablo2[[#This Row],[Bitiş]]-Tablo2[[#This Row],[Başlangıç]])*24)))</f>
        <v>150.75</v>
      </c>
    </row>
    <row r="247" spans="1:5" x14ac:dyDescent="0.3">
      <c r="A247">
        <v>233</v>
      </c>
      <c r="B247" t="s">
        <v>65</v>
      </c>
      <c r="C247" s="1">
        <v>44434.260416666664</v>
      </c>
      <c r="D247" s="1">
        <v>44440.541666666664</v>
      </c>
      <c r="E247" s="17">
        <f>IF(Tablo2[[#This Row],[Başlangıç]]="","",(IF(Tablo2[[#This Row],[Bitiş]]="",($G$1-Tablo2[[#This Row],[Başlangıç]])*24,(Tablo2[[#This Row],[Bitiş]]-Tablo2[[#This Row],[Başlangıç]])*24)))</f>
        <v>150.75</v>
      </c>
    </row>
    <row r="248" spans="1:5" x14ac:dyDescent="0.3">
      <c r="A248">
        <v>234</v>
      </c>
      <c r="B248" t="s">
        <v>36</v>
      </c>
      <c r="C248" s="1">
        <v>44434.666666666664</v>
      </c>
      <c r="D248" s="1">
        <v>44434.6875</v>
      </c>
      <c r="E24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49" spans="1:5" x14ac:dyDescent="0.3">
      <c r="A249">
        <v>234</v>
      </c>
      <c r="B249" t="s">
        <v>84</v>
      </c>
      <c r="C249" s="1">
        <v>44434.666666666664</v>
      </c>
      <c r="D249" s="1">
        <v>44439.944444444445</v>
      </c>
      <c r="E249" s="17">
        <f>IF(Tablo2[[#This Row],[Başlangıç]]="","",(IF(Tablo2[[#This Row],[Bitiş]]="",($G$1-Tablo2[[#This Row],[Başlangıç]])*24,(Tablo2[[#This Row],[Bitiş]]-Tablo2[[#This Row],[Başlangıç]])*24)))</f>
        <v>126.66666666674428</v>
      </c>
    </row>
    <row r="250" spans="1:5" x14ac:dyDescent="0.3">
      <c r="A250">
        <v>234</v>
      </c>
      <c r="B250" t="s">
        <v>179</v>
      </c>
      <c r="C250" s="1">
        <v>44434.666666666664</v>
      </c>
      <c r="D250" s="1">
        <v>44434.6875</v>
      </c>
      <c r="E25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51" spans="1:5" x14ac:dyDescent="0.3">
      <c r="A251">
        <v>234</v>
      </c>
      <c r="B251" t="s">
        <v>68</v>
      </c>
      <c r="C251" s="1">
        <v>44439.9375</v>
      </c>
      <c r="D251" s="1">
        <v>44442.054166666669</v>
      </c>
      <c r="E251" s="17">
        <f>IF(Tablo2[[#This Row],[Başlangıç]]="","",(IF(Tablo2[[#This Row],[Bitiş]]="",($G$1-Tablo2[[#This Row],[Başlangıç]])*24,(Tablo2[[#This Row],[Bitiş]]-Tablo2[[#This Row],[Başlangıç]])*24)))</f>
        <v>50.800000000046566</v>
      </c>
    </row>
    <row r="252" spans="1:5" x14ac:dyDescent="0.3">
      <c r="A252">
        <v>234</v>
      </c>
      <c r="B252" t="s">
        <v>37</v>
      </c>
      <c r="C252" s="1">
        <v>44434.666666666664</v>
      </c>
      <c r="D252" s="1">
        <v>44440.541666666664</v>
      </c>
      <c r="E252" s="17">
        <f>IF(Tablo2[[#This Row],[Başlangıç]]="","",(IF(Tablo2[[#This Row],[Bitiş]]="",($G$1-Tablo2[[#This Row],[Başlangıç]])*24,(Tablo2[[#This Row],[Bitiş]]-Tablo2[[#This Row],[Başlangıç]])*24)))</f>
        <v>141</v>
      </c>
    </row>
    <row r="253" spans="1:5" x14ac:dyDescent="0.3">
      <c r="A253">
        <v>234</v>
      </c>
      <c r="B253" t="s">
        <v>65</v>
      </c>
      <c r="C253" s="1">
        <v>44434.666666666664</v>
      </c>
      <c r="D253" s="1">
        <v>44440.541666666664</v>
      </c>
      <c r="E253" s="17">
        <f>IF(Tablo2[[#This Row],[Başlangıç]]="","",(IF(Tablo2[[#This Row],[Bitiş]]="",($G$1-Tablo2[[#This Row],[Başlangıç]])*24,(Tablo2[[#This Row],[Bitiş]]-Tablo2[[#This Row],[Başlangıç]])*24)))</f>
        <v>141</v>
      </c>
    </row>
    <row r="254" spans="1:5" x14ac:dyDescent="0.3">
      <c r="A254">
        <v>235</v>
      </c>
      <c r="B254" t="s">
        <v>36</v>
      </c>
      <c r="C254" s="1">
        <v>44434.979166666664</v>
      </c>
      <c r="D254" s="1">
        <v>44435</v>
      </c>
      <c r="E25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55" spans="1:5" x14ac:dyDescent="0.3">
      <c r="A255">
        <v>235</v>
      </c>
      <c r="B255" t="s">
        <v>84</v>
      </c>
      <c r="C255" s="1">
        <v>44441.461805555555</v>
      </c>
      <c r="D255" s="1">
        <v>44443.364583333336</v>
      </c>
      <c r="E255" s="17">
        <f>IF(Tablo2[[#This Row],[Başlangıç]]="","",(IF(Tablo2[[#This Row],[Bitiş]]="",($G$1-Tablo2[[#This Row],[Başlangıç]])*24,(Tablo2[[#This Row],[Bitiş]]-Tablo2[[#This Row],[Başlangıç]])*24)))</f>
        <v>45.666666666744277</v>
      </c>
    </row>
    <row r="256" spans="1:5" x14ac:dyDescent="0.3">
      <c r="A256">
        <v>235</v>
      </c>
      <c r="B256" t="s">
        <v>179</v>
      </c>
      <c r="C256" s="1">
        <v>44434.979166666664</v>
      </c>
      <c r="D256" s="1">
        <v>44435</v>
      </c>
      <c r="E2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57" spans="1:5" x14ac:dyDescent="0.3">
      <c r="A257">
        <v>235</v>
      </c>
      <c r="B257" t="s">
        <v>68</v>
      </c>
      <c r="C257" s="1">
        <v>44440.041666666664</v>
      </c>
      <c r="D257" s="1">
        <v>44443.364583333336</v>
      </c>
      <c r="E257" s="17">
        <f>IF(Tablo2[[#This Row],[Başlangıç]]="","",(IF(Tablo2[[#This Row],[Bitiş]]="",($G$1-Tablo2[[#This Row],[Başlangıç]])*24,(Tablo2[[#This Row],[Bitiş]]-Tablo2[[#This Row],[Başlangıç]])*24)))</f>
        <v>79.750000000116415</v>
      </c>
    </row>
    <row r="258" spans="1:5" x14ac:dyDescent="0.3">
      <c r="A258">
        <v>235</v>
      </c>
      <c r="B258" t="s">
        <v>37</v>
      </c>
      <c r="C258" s="1">
        <v>44434.979166666664</v>
      </c>
      <c r="D258" s="1">
        <v>44440.541666666664</v>
      </c>
      <c r="E258" s="17">
        <f>IF(Tablo2[[#This Row],[Başlangıç]]="","",(IF(Tablo2[[#This Row],[Bitiş]]="",($G$1-Tablo2[[#This Row],[Başlangıç]])*24,(Tablo2[[#This Row],[Bitiş]]-Tablo2[[#This Row],[Başlangıç]])*24)))</f>
        <v>133.5</v>
      </c>
    </row>
    <row r="259" spans="1:5" x14ac:dyDescent="0.3">
      <c r="A259">
        <v>235</v>
      </c>
      <c r="B259" t="s">
        <v>65</v>
      </c>
      <c r="C259" s="1">
        <v>44440.069444444445</v>
      </c>
      <c r="D259" s="1">
        <v>44441.427083333336</v>
      </c>
      <c r="E259" s="17">
        <f>IF(Tablo2[[#This Row],[Başlangıç]]="","",(IF(Tablo2[[#This Row],[Bitiş]]="",($G$1-Tablo2[[#This Row],[Başlangıç]])*24,(Tablo2[[#This Row],[Bitiş]]-Tablo2[[#This Row],[Başlangıç]])*24)))</f>
        <v>32.583333333372138</v>
      </c>
    </row>
    <row r="260" spans="1:5" x14ac:dyDescent="0.3">
      <c r="A260">
        <v>236</v>
      </c>
      <c r="B260" t="s">
        <v>36</v>
      </c>
      <c r="C260" s="1">
        <v>44440.458333333336</v>
      </c>
      <c r="D260" s="1">
        <v>44442.5</v>
      </c>
      <c r="E260" s="17">
        <f>IF(Tablo2[[#This Row],[Başlangıç]]="","",(IF(Tablo2[[#This Row],[Bitiş]]="",($G$1-Tablo2[[#This Row],[Başlangıç]])*24,(Tablo2[[#This Row],[Bitiş]]-Tablo2[[#This Row],[Başlangıç]])*24)))</f>
        <v>48.999999999941792</v>
      </c>
    </row>
    <row r="261" spans="1:5" x14ac:dyDescent="0.3">
      <c r="A261">
        <v>236</v>
      </c>
      <c r="B261" t="s">
        <v>84</v>
      </c>
      <c r="C261" s="1">
        <v>44444.520833333336</v>
      </c>
      <c r="D261" s="1">
        <v>44445.333333333336</v>
      </c>
      <c r="E261" s="17">
        <f>IF(Tablo2[[#This Row],[Başlangıç]]="","",(IF(Tablo2[[#This Row],[Bitiş]]="",($G$1-Tablo2[[#This Row],[Başlangıç]])*24,(Tablo2[[#This Row],[Bitiş]]-Tablo2[[#This Row],[Başlangıç]])*24)))</f>
        <v>19.5</v>
      </c>
    </row>
    <row r="262" spans="1:5" x14ac:dyDescent="0.3">
      <c r="A262">
        <v>236</v>
      </c>
      <c r="B262" t="s">
        <v>179</v>
      </c>
      <c r="C262" s="1">
        <v>44435.427083333336</v>
      </c>
      <c r="D262" s="1">
        <v>44435.447916666664</v>
      </c>
      <c r="E26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63" spans="1:5" x14ac:dyDescent="0.3">
      <c r="A263">
        <v>236</v>
      </c>
      <c r="B263" t="s">
        <v>68</v>
      </c>
      <c r="C263" s="1">
        <v>44445.041666666664</v>
      </c>
      <c r="D263" s="1">
        <v>44446.364583333336</v>
      </c>
      <c r="E263" s="17">
        <f>IF(Tablo2[[#This Row],[Başlangıç]]="","",(IF(Tablo2[[#This Row],[Bitiş]]="",($G$1-Tablo2[[#This Row],[Başlangıç]])*24,(Tablo2[[#This Row],[Bitiş]]-Tablo2[[#This Row],[Başlangıç]])*24)))</f>
        <v>31.750000000116415</v>
      </c>
    </row>
    <row r="264" spans="1:5" x14ac:dyDescent="0.3">
      <c r="A264">
        <v>236</v>
      </c>
      <c r="B264" t="s">
        <v>37</v>
      </c>
      <c r="C264" s="1">
        <v>44442.080555555556</v>
      </c>
      <c r="D264" s="1">
        <v>44443.5625</v>
      </c>
      <c r="E264" s="17">
        <f>IF(Tablo2[[#This Row],[Başlangıç]]="","",(IF(Tablo2[[#This Row],[Bitiş]]="",($G$1-Tablo2[[#This Row],[Başlangıç]])*24,(Tablo2[[#This Row],[Bitiş]]-Tablo2[[#This Row],[Başlangıç]])*24)))</f>
        <v>35.566666666651145</v>
      </c>
    </row>
    <row r="265" spans="1:5" x14ac:dyDescent="0.3">
      <c r="A265">
        <v>236</v>
      </c>
      <c r="B265" t="s">
        <v>65</v>
      </c>
      <c r="C265" s="1">
        <v>44442.114583333336</v>
      </c>
      <c r="D265" s="1">
        <v>44444.291666666664</v>
      </c>
      <c r="E265" s="17">
        <f>IF(Tablo2[[#This Row],[Başlangıç]]="","",(IF(Tablo2[[#This Row],[Bitiş]]="",($G$1-Tablo2[[#This Row],[Başlangıç]])*24,(Tablo2[[#This Row],[Bitiş]]-Tablo2[[#This Row],[Başlangıç]])*24)))</f>
        <v>52.249999999883585</v>
      </c>
    </row>
    <row r="266" spans="1:5" x14ac:dyDescent="0.3">
      <c r="A266">
        <v>237</v>
      </c>
      <c r="B266" t="s">
        <v>36</v>
      </c>
      <c r="C266" s="1">
        <v>44440.458333333336</v>
      </c>
      <c r="D266" s="1">
        <v>44440.541666666664</v>
      </c>
      <c r="E266" s="17">
        <f>IF(Tablo2[[#This Row],[Başlangıç]]="","",(IF(Tablo2[[#This Row],[Bitiş]]="",($G$1-Tablo2[[#This Row],[Başlangıç]])*24,(Tablo2[[#This Row],[Bitiş]]-Tablo2[[#This Row],[Başlangıç]])*24)))</f>
        <v>1.9999999998835847</v>
      </c>
    </row>
    <row r="267" spans="1:5" x14ac:dyDescent="0.3">
      <c r="A267">
        <v>237</v>
      </c>
      <c r="B267" t="s">
        <v>84</v>
      </c>
      <c r="C267" s="1">
        <v>44441.854166666664</v>
      </c>
      <c r="D267" s="1">
        <v>44444.333333333336</v>
      </c>
      <c r="E267" s="17">
        <f>IF(Tablo2[[#This Row],[Başlangıç]]="","",(IF(Tablo2[[#This Row],[Bitiş]]="",($G$1-Tablo2[[#This Row],[Başlangıç]])*24,(Tablo2[[#This Row],[Bitiş]]-Tablo2[[#This Row],[Başlangıç]])*24)))</f>
        <v>59.500000000116415</v>
      </c>
    </row>
    <row r="268" spans="1:5" x14ac:dyDescent="0.3">
      <c r="A268">
        <v>237</v>
      </c>
      <c r="B268" t="s">
        <v>179</v>
      </c>
      <c r="C268" s="1">
        <v>44435.833333333336</v>
      </c>
      <c r="D268" s="1">
        <v>44435.854166666664</v>
      </c>
      <c r="E26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69" spans="1:5" x14ac:dyDescent="0.3">
      <c r="A269">
        <v>237</v>
      </c>
      <c r="B269" t="s">
        <v>68</v>
      </c>
      <c r="C269" s="1">
        <v>44442.305555555555</v>
      </c>
      <c r="D269" s="1">
        <v>44444.768750000003</v>
      </c>
      <c r="E269" s="17">
        <f>IF(Tablo2[[#This Row],[Başlangıç]]="","",(IF(Tablo2[[#This Row],[Bitiş]]="",($G$1-Tablo2[[#This Row],[Başlangıç]])*24,(Tablo2[[#This Row],[Bitiş]]-Tablo2[[#This Row],[Başlangıç]])*24)))</f>
        <v>59.116666666755918</v>
      </c>
    </row>
    <row r="270" spans="1:5" x14ac:dyDescent="0.3">
      <c r="A270">
        <v>237</v>
      </c>
      <c r="B270" t="s">
        <v>37</v>
      </c>
      <c r="C270" s="1">
        <v>44439.166666666664</v>
      </c>
      <c r="D270" s="1">
        <v>44440.541666666664</v>
      </c>
      <c r="E270" s="17">
        <f>IF(Tablo2[[#This Row],[Başlangıç]]="","",(IF(Tablo2[[#This Row],[Bitiş]]="",($G$1-Tablo2[[#This Row],[Başlangıç]])*24,(Tablo2[[#This Row],[Bitiş]]-Tablo2[[#This Row],[Başlangıç]])*24)))</f>
        <v>33</v>
      </c>
    </row>
    <row r="271" spans="1:5" x14ac:dyDescent="0.3">
      <c r="A271">
        <v>237</v>
      </c>
      <c r="B271" t="s">
        <v>65</v>
      </c>
      <c r="C271" s="1">
        <v>44440.684027777781</v>
      </c>
      <c r="D271" s="1">
        <v>44441.683333333334</v>
      </c>
      <c r="E271" s="17">
        <f>IF(Tablo2[[#This Row],[Başlangıç]]="","",(IF(Tablo2[[#This Row],[Bitiş]]="",($G$1-Tablo2[[#This Row],[Başlangıç]])*24,(Tablo2[[#This Row],[Bitiş]]-Tablo2[[#This Row],[Başlangıç]])*24)))</f>
        <v>23.983333333279006</v>
      </c>
    </row>
    <row r="272" spans="1:5" x14ac:dyDescent="0.3">
      <c r="A272">
        <v>238</v>
      </c>
      <c r="B272" t="s">
        <v>36</v>
      </c>
      <c r="C272" s="1">
        <v>44436.947916666664</v>
      </c>
      <c r="D272" s="1">
        <v>44442.458333333336</v>
      </c>
      <c r="E272" s="17">
        <f>IF(Tablo2[[#This Row],[Başlangıç]]="","",(IF(Tablo2[[#This Row],[Bitiş]]="",($G$1-Tablo2[[#This Row],[Başlangıç]])*24,(Tablo2[[#This Row],[Bitiş]]-Tablo2[[#This Row],[Başlangıç]])*24)))</f>
        <v>132.25000000011642</v>
      </c>
    </row>
    <row r="273" spans="1:5" x14ac:dyDescent="0.3">
      <c r="A273">
        <v>238</v>
      </c>
      <c r="B273" t="s">
        <v>84</v>
      </c>
      <c r="C273" s="1">
        <v>44442.711805555555</v>
      </c>
      <c r="D273" s="1">
        <v>44444.458333333336</v>
      </c>
      <c r="E273" s="17">
        <f>IF(Tablo2[[#This Row],[Başlangıç]]="","",(IF(Tablo2[[#This Row],[Bitiş]]="",($G$1-Tablo2[[#This Row],[Başlangıç]])*24,(Tablo2[[#This Row],[Bitiş]]-Tablo2[[#This Row],[Başlangıç]])*24)))</f>
        <v>41.916666666744277</v>
      </c>
    </row>
    <row r="274" spans="1:5" x14ac:dyDescent="0.3">
      <c r="A274">
        <v>238</v>
      </c>
      <c r="B274" t="s">
        <v>179</v>
      </c>
      <c r="C274" s="1">
        <v>44436.947916666664</v>
      </c>
      <c r="D274" s="1">
        <v>44436.96875</v>
      </c>
      <c r="E2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75" spans="1:5" x14ac:dyDescent="0.3">
      <c r="A275">
        <v>238</v>
      </c>
      <c r="B275" t="s">
        <v>68</v>
      </c>
      <c r="C275" s="1">
        <v>44440.059027777781</v>
      </c>
      <c r="D275" s="1">
        <v>44445.038194444445</v>
      </c>
      <c r="E275" s="17">
        <f>IF(Tablo2[[#This Row],[Başlangıç]]="","",(IF(Tablo2[[#This Row],[Bitiş]]="",($G$1-Tablo2[[#This Row],[Başlangıç]])*24,(Tablo2[[#This Row],[Bitiş]]-Tablo2[[#This Row],[Başlangıç]])*24)))</f>
        <v>119.49999999994179</v>
      </c>
    </row>
    <row r="276" spans="1:5" x14ac:dyDescent="0.3">
      <c r="A276">
        <v>238</v>
      </c>
      <c r="B276" t="s">
        <v>37</v>
      </c>
      <c r="C276" s="1">
        <v>44439.729166666664</v>
      </c>
      <c r="D276" s="1">
        <v>44442.430555555555</v>
      </c>
      <c r="E276" s="17">
        <f>IF(Tablo2[[#This Row],[Başlangıç]]="","",(IF(Tablo2[[#This Row],[Bitiş]]="",($G$1-Tablo2[[#This Row],[Başlangıç]])*24,(Tablo2[[#This Row],[Bitiş]]-Tablo2[[#This Row],[Başlangıç]])*24)))</f>
        <v>64.833333333372138</v>
      </c>
    </row>
    <row r="277" spans="1:5" x14ac:dyDescent="0.3">
      <c r="A277">
        <v>238</v>
      </c>
      <c r="B277" t="s">
        <v>65</v>
      </c>
      <c r="C277" s="1">
        <v>44441.677083333336</v>
      </c>
      <c r="D277" s="1">
        <v>44442.5</v>
      </c>
      <c r="E277" s="17">
        <f>IF(Tablo2[[#This Row],[Başlangıç]]="","",(IF(Tablo2[[#This Row],[Bitiş]]="",($G$1-Tablo2[[#This Row],[Başlangıç]])*24,(Tablo2[[#This Row],[Bitiş]]-Tablo2[[#This Row],[Başlangıç]])*24)))</f>
        <v>19.749999999941792</v>
      </c>
    </row>
    <row r="278" spans="1:5" x14ac:dyDescent="0.3">
      <c r="A278">
        <v>239</v>
      </c>
      <c r="B278" t="s">
        <v>36</v>
      </c>
      <c r="C278" s="1">
        <v>44437.260416666664</v>
      </c>
      <c r="D278" s="1">
        <v>44442.479166666664</v>
      </c>
      <c r="E278" s="17">
        <f>IF(Tablo2[[#This Row],[Başlangıç]]="","",(IF(Tablo2[[#This Row],[Bitiş]]="",($G$1-Tablo2[[#This Row],[Başlangıç]])*24,(Tablo2[[#This Row],[Bitiş]]-Tablo2[[#This Row],[Başlangıç]])*24)))</f>
        <v>125.25</v>
      </c>
    </row>
    <row r="279" spans="1:5" x14ac:dyDescent="0.3">
      <c r="A279">
        <v>239</v>
      </c>
      <c r="B279" t="s">
        <v>84</v>
      </c>
      <c r="C279" s="1">
        <v>44443.607638888891</v>
      </c>
      <c r="D279" s="1">
        <v>44444.53125</v>
      </c>
      <c r="E279" s="17">
        <f>IF(Tablo2[[#This Row],[Başlangıç]]="","",(IF(Tablo2[[#This Row],[Bitiş]]="",($G$1-Tablo2[[#This Row],[Başlangıç]])*24,(Tablo2[[#This Row],[Bitiş]]-Tablo2[[#This Row],[Başlangıç]])*24)))</f>
        <v>22.166666666627862</v>
      </c>
    </row>
    <row r="280" spans="1:5" x14ac:dyDescent="0.3">
      <c r="A280">
        <v>239</v>
      </c>
      <c r="B280" t="s">
        <v>179</v>
      </c>
      <c r="C280" s="1">
        <v>44437.260416666664</v>
      </c>
      <c r="D280" s="1">
        <v>44437.28125</v>
      </c>
      <c r="E2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81" spans="1:5" x14ac:dyDescent="0.3">
      <c r="A281">
        <v>239</v>
      </c>
      <c r="B281" t="s">
        <v>68</v>
      </c>
      <c r="C281" s="1">
        <v>44441.104166666664</v>
      </c>
      <c r="D281" s="1">
        <v>44445.265972222223</v>
      </c>
      <c r="E281" s="17">
        <f>IF(Tablo2[[#This Row],[Başlangıç]]="","",(IF(Tablo2[[#This Row],[Bitiş]]="",($G$1-Tablo2[[#This Row],[Başlangıç]])*24,(Tablo2[[#This Row],[Bitiş]]-Tablo2[[#This Row],[Başlangıç]])*24)))</f>
        <v>99.883333333418705</v>
      </c>
    </row>
    <row r="282" spans="1:5" x14ac:dyDescent="0.3">
      <c r="A282">
        <v>239</v>
      </c>
      <c r="B282" t="s">
        <v>37</v>
      </c>
      <c r="C282" s="1">
        <v>44440.875</v>
      </c>
      <c r="D282" s="1">
        <v>44443.054166666669</v>
      </c>
      <c r="E282" s="17">
        <f>IF(Tablo2[[#This Row],[Başlangıç]]="","",(IF(Tablo2[[#This Row],[Bitiş]]="",($G$1-Tablo2[[#This Row],[Başlangıç]])*24,(Tablo2[[#This Row],[Bitiş]]-Tablo2[[#This Row],[Başlangıç]])*24)))</f>
        <v>52.300000000046566</v>
      </c>
    </row>
    <row r="283" spans="1:5" x14ac:dyDescent="0.3">
      <c r="A283">
        <v>239</v>
      </c>
      <c r="B283" t="s">
        <v>65</v>
      </c>
      <c r="C283" s="1">
        <v>44442.1875</v>
      </c>
      <c r="D283" s="1">
        <v>44443.354166666664</v>
      </c>
      <c r="E283" s="17">
        <f>IF(Tablo2[[#This Row],[Başlangıç]]="","",(IF(Tablo2[[#This Row],[Bitiş]]="",($G$1-Tablo2[[#This Row],[Başlangıç]])*24,(Tablo2[[#This Row],[Bitiş]]-Tablo2[[#This Row],[Başlangıç]])*24)))</f>
        <v>27.999999999941792</v>
      </c>
    </row>
    <row r="284" spans="1:5" x14ac:dyDescent="0.3">
      <c r="A284">
        <v>240</v>
      </c>
      <c r="B284" t="s">
        <v>36</v>
      </c>
      <c r="C284" s="1">
        <v>44437.697916666664</v>
      </c>
      <c r="D284" s="1">
        <v>44443.3125</v>
      </c>
      <c r="E284" s="17">
        <f>IF(Tablo2[[#This Row],[Başlangıç]]="","",(IF(Tablo2[[#This Row],[Bitiş]]="",($G$1-Tablo2[[#This Row],[Başlangıç]])*24,(Tablo2[[#This Row],[Bitiş]]-Tablo2[[#This Row],[Başlangıç]])*24)))</f>
        <v>134.75000000005821</v>
      </c>
    </row>
    <row r="285" spans="1:5" x14ac:dyDescent="0.3">
      <c r="A285">
        <v>240</v>
      </c>
      <c r="B285" t="s">
        <v>84</v>
      </c>
      <c r="C285" s="1">
        <v>44445.6875</v>
      </c>
      <c r="D285" s="1">
        <v>44446.354166666664</v>
      </c>
      <c r="E285" s="17">
        <f>IF(Tablo2[[#This Row],[Başlangıç]]="","",(IF(Tablo2[[#This Row],[Bitiş]]="",($G$1-Tablo2[[#This Row],[Başlangıç]])*24,(Tablo2[[#This Row],[Bitiş]]-Tablo2[[#This Row],[Başlangıç]])*24)))</f>
        <v>15.999999999941792</v>
      </c>
    </row>
    <row r="286" spans="1:5" x14ac:dyDescent="0.3">
      <c r="A286">
        <v>240</v>
      </c>
      <c r="B286" t="s">
        <v>179</v>
      </c>
      <c r="C286" s="1">
        <v>44437.697916666664</v>
      </c>
      <c r="D286" s="1">
        <v>44437.71875</v>
      </c>
      <c r="E28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87" spans="1:5" x14ac:dyDescent="0.3">
      <c r="A287">
        <v>240</v>
      </c>
      <c r="B287" t="s">
        <v>68</v>
      </c>
      <c r="C287" s="1">
        <v>44446.125</v>
      </c>
      <c r="D287" s="1">
        <v>44447.913194444445</v>
      </c>
      <c r="E287" s="17">
        <f>IF(Tablo2[[#This Row],[Başlangıç]]="","",(IF(Tablo2[[#This Row],[Bitiş]]="",($G$1-Tablo2[[#This Row],[Başlangıç]])*24,(Tablo2[[#This Row],[Bitiş]]-Tablo2[[#This Row],[Başlangıç]])*24)))</f>
        <v>42.916666666686069</v>
      </c>
    </row>
    <row r="288" spans="1:5" x14ac:dyDescent="0.3">
      <c r="A288">
        <v>240</v>
      </c>
      <c r="B288" t="s">
        <v>37</v>
      </c>
      <c r="C288" s="1">
        <v>44440.015277777777</v>
      </c>
      <c r="D288" s="1">
        <v>44445.515277777777</v>
      </c>
      <c r="E288" s="17">
        <f>IF(Tablo2[[#This Row],[Başlangıç]]="","",(IF(Tablo2[[#This Row],[Bitiş]]="",($G$1-Tablo2[[#This Row],[Başlangıç]])*24,(Tablo2[[#This Row],[Bitiş]]-Tablo2[[#This Row],[Başlangıç]])*24)))</f>
        <v>132</v>
      </c>
    </row>
    <row r="289" spans="1:5" x14ac:dyDescent="0.3">
      <c r="A289">
        <v>240</v>
      </c>
      <c r="B289" t="s">
        <v>65</v>
      </c>
      <c r="C289" s="1">
        <v>44444.753472222219</v>
      </c>
      <c r="D289" s="1">
        <v>44445.635416666664</v>
      </c>
      <c r="E289" s="17">
        <f>IF(Tablo2[[#This Row],[Başlangıç]]="","",(IF(Tablo2[[#This Row],[Bitiş]]="",($G$1-Tablo2[[#This Row],[Başlangıç]])*24,(Tablo2[[#This Row],[Bitiş]]-Tablo2[[#This Row],[Başlangıç]])*24)))</f>
        <v>21.166666666686069</v>
      </c>
    </row>
    <row r="290" spans="1:5" x14ac:dyDescent="0.3">
      <c r="A290">
        <v>241</v>
      </c>
      <c r="B290" t="s">
        <v>36</v>
      </c>
      <c r="C290" s="1">
        <v>44440.1875</v>
      </c>
      <c r="D290" s="1">
        <v>44441.780555555553</v>
      </c>
      <c r="E290" s="17">
        <f>IF(Tablo2[[#This Row],[Başlangıç]]="","",(IF(Tablo2[[#This Row],[Bitiş]]="",($G$1-Tablo2[[#This Row],[Başlangıç]])*24,(Tablo2[[#This Row],[Bitiş]]-Tablo2[[#This Row],[Başlangıç]])*24)))</f>
        <v>38.233333333279006</v>
      </c>
    </row>
    <row r="291" spans="1:5" x14ac:dyDescent="0.3">
      <c r="A291">
        <v>241</v>
      </c>
      <c r="B291" t="s">
        <v>84</v>
      </c>
      <c r="C291" s="1">
        <v>44446.388888888891</v>
      </c>
      <c r="D291" s="1">
        <v>44447.333333333336</v>
      </c>
      <c r="E291" s="17">
        <f>IF(Tablo2[[#This Row],[Başlangıç]]="","",(IF(Tablo2[[#This Row],[Bitiş]]="",($G$1-Tablo2[[#This Row],[Başlangıç]])*24,(Tablo2[[#This Row],[Bitiş]]-Tablo2[[#This Row],[Başlangıç]])*24)))</f>
        <v>22.666666666686069</v>
      </c>
    </row>
    <row r="292" spans="1:5" x14ac:dyDescent="0.3">
      <c r="A292">
        <v>241</v>
      </c>
      <c r="B292" t="s">
        <v>179</v>
      </c>
      <c r="C292" s="1">
        <v>44440.1875</v>
      </c>
      <c r="D292" s="1">
        <v>44440.208333333336</v>
      </c>
      <c r="E29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93" spans="1:5" x14ac:dyDescent="0.3">
      <c r="A293">
        <v>241</v>
      </c>
      <c r="B293" t="s">
        <v>68</v>
      </c>
      <c r="C293" s="1">
        <v>44446.927083333336</v>
      </c>
      <c r="D293" s="1">
        <v>44450.545138888891</v>
      </c>
      <c r="E293" s="17">
        <f>IF(Tablo2[[#This Row],[Başlangıç]]="","",(IF(Tablo2[[#This Row],[Bitiş]]="",($G$1-Tablo2[[#This Row],[Başlangıç]])*24,(Tablo2[[#This Row],[Bitiş]]-Tablo2[[#This Row],[Başlangıç]])*24)))</f>
        <v>86.833333333313931</v>
      </c>
    </row>
    <row r="294" spans="1:5" x14ac:dyDescent="0.3">
      <c r="A294">
        <v>241</v>
      </c>
      <c r="B294" t="s">
        <v>37</v>
      </c>
      <c r="C294" s="1">
        <v>44443.538194444445</v>
      </c>
      <c r="D294" s="1">
        <v>44446.211805555555</v>
      </c>
      <c r="E294" s="17">
        <f>IF(Tablo2[[#This Row],[Başlangıç]]="","",(IF(Tablo2[[#This Row],[Bitiş]]="",($G$1-Tablo2[[#This Row],[Başlangıç]])*24,(Tablo2[[#This Row],[Bitiş]]-Tablo2[[#This Row],[Başlangıç]])*24)))</f>
        <v>64.166666666627862</v>
      </c>
    </row>
    <row r="295" spans="1:5" x14ac:dyDescent="0.3">
      <c r="A295">
        <v>241</v>
      </c>
      <c r="B295" t="s">
        <v>65</v>
      </c>
      <c r="C295" s="1">
        <v>44445.142361111109</v>
      </c>
      <c r="D295" s="1">
        <v>44446.302083333336</v>
      </c>
      <c r="E295" s="17">
        <f>IF(Tablo2[[#This Row],[Başlangıç]]="","",(IF(Tablo2[[#This Row],[Bitiş]]="",($G$1-Tablo2[[#This Row],[Başlangıç]])*24,(Tablo2[[#This Row],[Bitiş]]-Tablo2[[#This Row],[Başlangıç]])*24)))</f>
        <v>27.833333333430346</v>
      </c>
    </row>
    <row r="296" spans="1:5" x14ac:dyDescent="0.3">
      <c r="A296">
        <v>242</v>
      </c>
      <c r="B296" t="s">
        <v>36</v>
      </c>
      <c r="C296" s="1">
        <v>44440.645833333336</v>
      </c>
      <c r="D296" s="1">
        <v>44442.458333333336</v>
      </c>
      <c r="E296" s="17">
        <f>IF(Tablo2[[#This Row],[Başlangıç]]="","",(IF(Tablo2[[#This Row],[Bitiş]]="",($G$1-Tablo2[[#This Row],[Başlangıç]])*24,(Tablo2[[#This Row],[Bitiş]]-Tablo2[[#This Row],[Başlangıç]])*24)))</f>
        <v>43.5</v>
      </c>
    </row>
    <row r="297" spans="1:5" x14ac:dyDescent="0.3">
      <c r="A297">
        <v>242</v>
      </c>
      <c r="B297" t="s">
        <v>84</v>
      </c>
      <c r="C297" s="1">
        <v>44445.090277777781</v>
      </c>
      <c r="D297" s="1">
        <v>44445.5</v>
      </c>
      <c r="E297" s="17">
        <f>IF(Tablo2[[#This Row],[Başlangıç]]="","",(IF(Tablo2[[#This Row],[Bitiş]]="",($G$1-Tablo2[[#This Row],[Başlangıç]])*24,(Tablo2[[#This Row],[Bitiş]]-Tablo2[[#This Row],[Başlangıç]])*24)))</f>
        <v>9.8333333332557231</v>
      </c>
    </row>
    <row r="298" spans="1:5" x14ac:dyDescent="0.3">
      <c r="A298">
        <v>242</v>
      </c>
      <c r="B298" t="s">
        <v>179</v>
      </c>
      <c r="C298" s="1">
        <v>44440.645833333336</v>
      </c>
      <c r="D298" s="1">
        <v>44440.666666666664</v>
      </c>
      <c r="E29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99" spans="1:5" x14ac:dyDescent="0.3">
      <c r="A299">
        <v>242</v>
      </c>
      <c r="B299" t="s">
        <v>68</v>
      </c>
      <c r="C299" s="1">
        <v>44445.680555555555</v>
      </c>
      <c r="D299" s="1">
        <v>44446.666666666664</v>
      </c>
      <c r="E299" s="17">
        <f>IF(Tablo2[[#This Row],[Başlangıç]]="","",(IF(Tablo2[[#This Row],[Bitiş]]="",($G$1-Tablo2[[#This Row],[Başlangıç]])*24,(Tablo2[[#This Row],[Bitiş]]-Tablo2[[#This Row],[Başlangıç]])*24)))</f>
        <v>23.666666666627862</v>
      </c>
    </row>
    <row r="300" spans="1:5" x14ac:dyDescent="0.3">
      <c r="A300">
        <v>242</v>
      </c>
      <c r="B300" t="s">
        <v>37</v>
      </c>
      <c r="C300" s="1">
        <v>44442.388888888891</v>
      </c>
      <c r="D300" s="1">
        <v>44444.458333333336</v>
      </c>
      <c r="E300" s="17">
        <f>IF(Tablo2[[#This Row],[Başlangıç]]="","",(IF(Tablo2[[#This Row],[Bitiş]]="",($G$1-Tablo2[[#This Row],[Başlangıç]])*24,(Tablo2[[#This Row],[Bitiş]]-Tablo2[[#This Row],[Başlangıç]])*24)))</f>
        <v>49.666666666686069</v>
      </c>
    </row>
    <row r="301" spans="1:5" x14ac:dyDescent="0.3">
      <c r="A301">
        <v>242</v>
      </c>
      <c r="B301" t="s">
        <v>65</v>
      </c>
      <c r="C301" s="1">
        <v>44444.020833333336</v>
      </c>
      <c r="D301" s="1">
        <v>44444.895833333336</v>
      </c>
      <c r="E301" s="17">
        <f>IF(Tablo2[[#This Row],[Başlangıç]]="","",(IF(Tablo2[[#This Row],[Bitiş]]="",($G$1-Tablo2[[#This Row],[Başlangıç]])*24,(Tablo2[[#This Row],[Bitiş]]-Tablo2[[#This Row],[Başlangıç]])*24)))</f>
        <v>21</v>
      </c>
    </row>
    <row r="302" spans="1:5" x14ac:dyDescent="0.3">
      <c r="A302">
        <v>243</v>
      </c>
      <c r="B302" t="s">
        <v>36</v>
      </c>
      <c r="C302" s="1">
        <v>44442.5</v>
      </c>
      <c r="D302" s="1">
        <v>44444.4375</v>
      </c>
      <c r="E302" s="17">
        <f>IF(Tablo2[[#This Row],[Başlangıç]]="","",(IF(Tablo2[[#This Row],[Bitiş]]="",($G$1-Tablo2[[#This Row],[Başlangıç]])*24,(Tablo2[[#This Row],[Bitiş]]-Tablo2[[#This Row],[Başlangıç]])*24)))</f>
        <v>46.5</v>
      </c>
    </row>
    <row r="303" spans="1:5" x14ac:dyDescent="0.3">
      <c r="A303">
        <v>243</v>
      </c>
      <c r="B303" t="s">
        <v>84</v>
      </c>
      <c r="C303" s="1">
        <v>44458.215277777781</v>
      </c>
      <c r="D303" s="1">
        <v>44459.833333333336</v>
      </c>
      <c r="E303" s="17">
        <f>IF(Tablo2[[#This Row],[Başlangıç]]="","",(IF(Tablo2[[#This Row],[Bitiş]]="",($G$1-Tablo2[[#This Row],[Başlangıç]])*24,(Tablo2[[#This Row],[Bitiş]]-Tablo2[[#This Row],[Başlangıç]])*24)))</f>
        <v>38.833333333313931</v>
      </c>
    </row>
    <row r="304" spans="1:5" x14ac:dyDescent="0.3">
      <c r="A304">
        <v>243</v>
      </c>
      <c r="B304" t="s">
        <v>179</v>
      </c>
      <c r="C304" s="1">
        <v>44442.5</v>
      </c>
      <c r="D304" s="1">
        <v>44442.520833333336</v>
      </c>
      <c r="E3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05" spans="1:5" x14ac:dyDescent="0.3">
      <c r="A305">
        <v>243</v>
      </c>
      <c r="B305" t="s">
        <v>68</v>
      </c>
      <c r="C305" s="1">
        <v>44458.416666666664</v>
      </c>
      <c r="D305" s="1">
        <v>44459.921527777777</v>
      </c>
      <c r="E305" s="17">
        <f>IF(Tablo2[[#This Row],[Başlangıç]]="","",(IF(Tablo2[[#This Row],[Bitiş]]="",($G$1-Tablo2[[#This Row],[Başlangıç]])*24,(Tablo2[[#This Row],[Bitiş]]-Tablo2[[#This Row],[Başlangıç]])*24)))</f>
        <v>36.116666666697711</v>
      </c>
    </row>
    <row r="306" spans="1:5" x14ac:dyDescent="0.3">
      <c r="A306">
        <v>243</v>
      </c>
      <c r="B306" t="s">
        <v>37</v>
      </c>
      <c r="C306" s="1">
        <v>44444.048611111109</v>
      </c>
      <c r="D306" s="1">
        <v>44457.506944444445</v>
      </c>
      <c r="E306" s="17">
        <f>IF(Tablo2[[#This Row],[Başlangıç]]="","",(IF(Tablo2[[#This Row],[Bitiş]]="",($G$1-Tablo2[[#This Row],[Başlangıç]])*24,(Tablo2[[#This Row],[Bitiş]]-Tablo2[[#This Row],[Başlangıç]])*24)))</f>
        <v>323.00000000005821</v>
      </c>
    </row>
    <row r="307" spans="1:5" x14ac:dyDescent="0.3">
      <c r="A307">
        <v>243</v>
      </c>
      <c r="B307" t="s">
        <v>65</v>
      </c>
      <c r="C307" s="1">
        <v>44457.583333333336</v>
      </c>
      <c r="D307" s="1">
        <v>44458.385416666664</v>
      </c>
      <c r="E307" s="17">
        <f>IF(Tablo2[[#This Row],[Başlangıç]]="","",(IF(Tablo2[[#This Row],[Bitiş]]="",($G$1-Tablo2[[#This Row],[Başlangıç]])*24,(Tablo2[[#This Row],[Bitiş]]-Tablo2[[#This Row],[Başlangıç]])*24)))</f>
        <v>19.249999999883585</v>
      </c>
    </row>
    <row r="308" spans="1:5" x14ac:dyDescent="0.3">
      <c r="A308">
        <v>244</v>
      </c>
      <c r="B308" t="s">
        <v>36</v>
      </c>
      <c r="C308" s="1">
        <v>44441.875</v>
      </c>
      <c r="D308" s="1">
        <v>44444.333333333336</v>
      </c>
      <c r="E308" s="17">
        <f>IF(Tablo2[[#This Row],[Başlangıç]]="","",(IF(Tablo2[[#This Row],[Bitiş]]="",($G$1-Tablo2[[#This Row],[Başlangıç]])*24,(Tablo2[[#This Row],[Bitiş]]-Tablo2[[#This Row],[Başlangıç]])*24)))</f>
        <v>59.000000000058208</v>
      </c>
    </row>
    <row r="309" spans="1:5" x14ac:dyDescent="0.3">
      <c r="A309">
        <v>244</v>
      </c>
      <c r="B309" t="s">
        <v>84</v>
      </c>
      <c r="C309" s="1">
        <v>44462.541666666664</v>
      </c>
      <c r="D309" s="1">
        <v>44465.375</v>
      </c>
      <c r="E309" s="17">
        <f>IF(Tablo2[[#This Row],[Başlangıç]]="","",(IF(Tablo2[[#This Row],[Bitiş]]="",($G$1-Tablo2[[#This Row],[Başlangıç]])*24,(Tablo2[[#This Row],[Bitiş]]-Tablo2[[#This Row],[Başlangıç]])*24)))</f>
        <v>68.000000000058208</v>
      </c>
    </row>
    <row r="310" spans="1:5" x14ac:dyDescent="0.3">
      <c r="A310">
        <v>244</v>
      </c>
      <c r="B310" t="s">
        <v>179</v>
      </c>
      <c r="C310" s="1">
        <v>44441.875</v>
      </c>
      <c r="D310" s="1">
        <v>44441.895833333336</v>
      </c>
      <c r="E31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11" spans="1:5" x14ac:dyDescent="0.3">
      <c r="A311">
        <v>244</v>
      </c>
      <c r="B311" t="s">
        <v>68</v>
      </c>
      <c r="C311" s="1">
        <v>44464.354166666664</v>
      </c>
      <c r="D311" s="1">
        <v>44465.510416666664</v>
      </c>
      <c r="E311" s="17">
        <f>IF(Tablo2[[#This Row],[Başlangıç]]="","",(IF(Tablo2[[#This Row],[Bitiş]]="",($G$1-Tablo2[[#This Row],[Başlangıç]])*24,(Tablo2[[#This Row],[Bitiş]]-Tablo2[[#This Row],[Başlangıç]])*24)))</f>
        <v>27.75</v>
      </c>
    </row>
    <row r="312" spans="1:5" x14ac:dyDescent="0.3">
      <c r="A312">
        <v>244</v>
      </c>
      <c r="B312" t="s">
        <v>37</v>
      </c>
      <c r="C312" s="1">
        <v>44443.402777777781</v>
      </c>
      <c r="D312" s="1">
        <v>44463.195138888892</v>
      </c>
      <c r="E312" s="17">
        <f>IF(Tablo2[[#This Row],[Başlangıç]]="","",(IF(Tablo2[[#This Row],[Bitiş]]="",($G$1-Tablo2[[#This Row],[Başlangıç]])*24,(Tablo2[[#This Row],[Bitiş]]-Tablo2[[#This Row],[Başlangıç]])*24)))</f>
        <v>475.01666666666279</v>
      </c>
    </row>
    <row r="313" spans="1:5" x14ac:dyDescent="0.3">
      <c r="A313">
        <v>244</v>
      </c>
      <c r="B313" t="s">
        <v>65</v>
      </c>
      <c r="C313" s="1">
        <v>44460.815972222219</v>
      </c>
      <c r="D313" s="1">
        <v>44463.458333333336</v>
      </c>
      <c r="E313" s="17">
        <f>IF(Tablo2[[#This Row],[Başlangıç]]="","",(IF(Tablo2[[#This Row],[Bitiş]]="",($G$1-Tablo2[[#This Row],[Başlangıç]])*24,(Tablo2[[#This Row],[Bitiş]]-Tablo2[[#This Row],[Başlangıç]])*24)))</f>
        <v>63.416666666802485</v>
      </c>
    </row>
    <row r="314" spans="1:5" x14ac:dyDescent="0.3">
      <c r="A314">
        <v>245</v>
      </c>
      <c r="B314" t="s">
        <v>36</v>
      </c>
      <c r="C314" s="1">
        <v>44442.364583333336</v>
      </c>
      <c r="D314" s="1">
        <v>44444.430555555555</v>
      </c>
      <c r="E314" s="17">
        <f>IF(Tablo2[[#This Row],[Başlangıç]]="","",(IF(Tablo2[[#This Row],[Bitiş]]="",($G$1-Tablo2[[#This Row],[Başlangıç]])*24,(Tablo2[[#This Row],[Bitiş]]-Tablo2[[#This Row],[Başlangıç]])*24)))</f>
        <v>49.583333333255723</v>
      </c>
    </row>
    <row r="315" spans="1:5" x14ac:dyDescent="0.3">
      <c r="A315">
        <v>245</v>
      </c>
      <c r="B315" t="s">
        <v>84</v>
      </c>
      <c r="C315" s="1">
        <v>44449</v>
      </c>
      <c r="D315" s="1">
        <v>44450</v>
      </c>
      <c r="E315" s="17">
        <f>IF(Tablo2[[#This Row],[Başlangıç]]="","",(IF(Tablo2[[#This Row],[Bitiş]]="",($G$1-Tablo2[[#This Row],[Başlangıç]])*24,(Tablo2[[#This Row],[Bitiş]]-Tablo2[[#This Row],[Başlangıç]])*24)))</f>
        <v>24</v>
      </c>
    </row>
    <row r="316" spans="1:5" x14ac:dyDescent="0.3">
      <c r="A316">
        <v>245</v>
      </c>
      <c r="B316" t="s">
        <v>179</v>
      </c>
      <c r="C316" s="1">
        <v>44442.364583333336</v>
      </c>
      <c r="D316" s="1">
        <v>44442.385416666664</v>
      </c>
      <c r="E31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17" spans="1:5" x14ac:dyDescent="0.3">
      <c r="A317">
        <v>245</v>
      </c>
      <c r="B317" t="s">
        <v>68</v>
      </c>
      <c r="C317" s="1">
        <v>44449.791666666664</v>
      </c>
      <c r="D317" s="1">
        <v>44451.472222222219</v>
      </c>
      <c r="E317" s="17">
        <f>IF(Tablo2[[#This Row],[Başlangıç]]="","",(IF(Tablo2[[#This Row],[Bitiş]]="",($G$1-Tablo2[[#This Row],[Başlangıç]])*24,(Tablo2[[#This Row],[Bitiş]]-Tablo2[[#This Row],[Başlangıç]])*24)))</f>
        <v>40.333333333313931</v>
      </c>
    </row>
    <row r="318" spans="1:5" x14ac:dyDescent="0.3">
      <c r="A318">
        <v>245</v>
      </c>
      <c r="B318" t="s">
        <v>37</v>
      </c>
      <c r="C318" s="1">
        <v>44443.548611111109</v>
      </c>
      <c r="D318" s="1">
        <v>44449.236111111109</v>
      </c>
      <c r="E318" s="17">
        <f>IF(Tablo2[[#This Row],[Başlangıç]]="","",(IF(Tablo2[[#This Row],[Bitiş]]="",($G$1-Tablo2[[#This Row],[Başlangıç]])*24,(Tablo2[[#This Row],[Bitiş]]-Tablo2[[#This Row],[Başlangıç]])*24)))</f>
        <v>136.5</v>
      </c>
    </row>
    <row r="319" spans="1:5" x14ac:dyDescent="0.3">
      <c r="A319">
        <v>245</v>
      </c>
      <c r="B319" t="s">
        <v>65</v>
      </c>
      <c r="C319" s="1">
        <v>44448.34375</v>
      </c>
      <c r="D319" s="1">
        <v>44449.495833333334</v>
      </c>
      <c r="E319" s="17">
        <f>IF(Tablo2[[#This Row],[Başlangıç]]="","",(IF(Tablo2[[#This Row],[Bitiş]]="",($G$1-Tablo2[[#This Row],[Başlangıç]])*24,(Tablo2[[#This Row],[Bitiş]]-Tablo2[[#This Row],[Başlangıç]])*24)))</f>
        <v>27.650000000023283</v>
      </c>
    </row>
    <row r="320" spans="1:5" x14ac:dyDescent="0.3">
      <c r="A320">
        <v>246</v>
      </c>
      <c r="B320" t="s">
        <v>36</v>
      </c>
      <c r="C320" s="1">
        <v>44443.041666666664</v>
      </c>
      <c r="D320" s="1">
        <v>44444.4375</v>
      </c>
      <c r="E320" s="17">
        <f>IF(Tablo2[[#This Row],[Başlangıç]]="","",(IF(Tablo2[[#This Row],[Bitiş]]="",($G$1-Tablo2[[#This Row],[Başlangıç]])*24,(Tablo2[[#This Row],[Bitiş]]-Tablo2[[#This Row],[Başlangıç]])*24)))</f>
        <v>33.500000000058208</v>
      </c>
    </row>
    <row r="321" spans="1:5" x14ac:dyDescent="0.3">
      <c r="A321">
        <v>246</v>
      </c>
      <c r="B321" t="s">
        <v>84</v>
      </c>
      <c r="C321" s="1">
        <v>44446.986805555556</v>
      </c>
      <c r="D321" s="1">
        <v>44450.666666666664</v>
      </c>
      <c r="E321" s="17">
        <f>IF(Tablo2[[#This Row],[Başlangıç]]="","",(IF(Tablo2[[#This Row],[Bitiş]]="",($G$1-Tablo2[[#This Row],[Başlangıç]])*24,(Tablo2[[#This Row],[Bitiş]]-Tablo2[[#This Row],[Başlangıç]])*24)))</f>
        <v>88.316666666592937</v>
      </c>
    </row>
    <row r="322" spans="1:5" x14ac:dyDescent="0.3">
      <c r="A322">
        <v>246</v>
      </c>
      <c r="B322" t="s">
        <v>179</v>
      </c>
      <c r="C322" s="1">
        <v>44443.041666666664</v>
      </c>
      <c r="D322" s="1">
        <v>44443.0625</v>
      </c>
      <c r="E3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23" spans="1:5" x14ac:dyDescent="0.3">
      <c r="A323">
        <v>246</v>
      </c>
      <c r="B323" t="s">
        <v>68</v>
      </c>
      <c r="C323" s="1">
        <v>44447.333333333336</v>
      </c>
      <c r="D323" s="1">
        <v>44450.84375</v>
      </c>
      <c r="E323" s="17">
        <f>IF(Tablo2[[#This Row],[Başlangıç]]="","",(IF(Tablo2[[#This Row],[Bitiş]]="",($G$1-Tablo2[[#This Row],[Başlangıç]])*24,(Tablo2[[#This Row],[Bitiş]]-Tablo2[[#This Row],[Başlangıç]])*24)))</f>
        <v>84.249999999941792</v>
      </c>
    </row>
    <row r="324" spans="1:5" x14ac:dyDescent="0.3">
      <c r="A324">
        <v>246</v>
      </c>
      <c r="B324" t="s">
        <v>37</v>
      </c>
      <c r="C324" s="1">
        <v>44444.347222222219</v>
      </c>
      <c r="D324" s="1">
        <v>44447.625</v>
      </c>
      <c r="E324" s="17">
        <f>IF(Tablo2[[#This Row],[Başlangıç]]="","",(IF(Tablo2[[#This Row],[Bitiş]]="",($G$1-Tablo2[[#This Row],[Başlangıç]])*24,(Tablo2[[#This Row],[Bitiş]]-Tablo2[[#This Row],[Başlangıç]])*24)))</f>
        <v>78.666666666744277</v>
      </c>
    </row>
    <row r="325" spans="1:5" x14ac:dyDescent="0.3">
      <c r="A325">
        <v>246</v>
      </c>
      <c r="B325" t="s">
        <v>65</v>
      </c>
      <c r="C325" s="1">
        <v>44445.690972222219</v>
      </c>
      <c r="D325" s="1">
        <v>44446.965277777781</v>
      </c>
      <c r="E325" s="17">
        <f>IF(Tablo2[[#This Row],[Başlangıç]]="","",(IF(Tablo2[[#This Row],[Bitiş]]="",($G$1-Tablo2[[#This Row],[Başlangıç]])*24,(Tablo2[[#This Row],[Bitiş]]-Tablo2[[#This Row],[Başlangıç]])*24)))</f>
        <v>30.583333333488554</v>
      </c>
    </row>
    <row r="326" spans="1:5" x14ac:dyDescent="0.3">
      <c r="A326">
        <v>247</v>
      </c>
      <c r="B326" t="s">
        <v>36</v>
      </c>
      <c r="C326" s="1">
        <v>44444</v>
      </c>
      <c r="D326" s="1">
        <v>44445.458333333336</v>
      </c>
      <c r="E326" s="17">
        <f>IF(Tablo2[[#This Row],[Başlangıç]]="","",(IF(Tablo2[[#This Row],[Bitiş]]="",($G$1-Tablo2[[#This Row],[Başlangıç]])*24,(Tablo2[[#This Row],[Bitiş]]-Tablo2[[#This Row],[Başlangıç]])*24)))</f>
        <v>35.000000000058208</v>
      </c>
    </row>
    <row r="327" spans="1:5" x14ac:dyDescent="0.3">
      <c r="A327">
        <v>247</v>
      </c>
      <c r="B327" t="s">
        <v>84</v>
      </c>
      <c r="C327" s="1">
        <v>44447.708333333336</v>
      </c>
      <c r="D327" s="1">
        <v>44449.052083333336</v>
      </c>
      <c r="E327" s="17">
        <f>IF(Tablo2[[#This Row],[Başlangıç]]="","",(IF(Tablo2[[#This Row],[Bitiş]]="",($G$1-Tablo2[[#This Row],[Başlangıç]])*24,(Tablo2[[#This Row],[Bitiş]]-Tablo2[[#This Row],[Başlangıç]])*24)))</f>
        <v>32.25</v>
      </c>
    </row>
    <row r="328" spans="1:5" x14ac:dyDescent="0.3">
      <c r="A328">
        <v>247</v>
      </c>
      <c r="B328" t="s">
        <v>179</v>
      </c>
      <c r="C328" s="1">
        <v>44444</v>
      </c>
      <c r="D328" s="1">
        <v>44444.020833333336</v>
      </c>
      <c r="E3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29" spans="1:5" x14ac:dyDescent="0.3">
      <c r="A329">
        <v>247</v>
      </c>
      <c r="B329" t="s">
        <v>68</v>
      </c>
      <c r="C329" s="1">
        <v>44448.114583333336</v>
      </c>
      <c r="D329" s="1">
        <v>44449.315972222219</v>
      </c>
      <c r="E329" s="17">
        <f>IF(Tablo2[[#This Row],[Başlangıç]]="","",(IF(Tablo2[[#This Row],[Bitiş]]="",($G$1-Tablo2[[#This Row],[Başlangıç]])*24,(Tablo2[[#This Row],[Bitiş]]-Tablo2[[#This Row],[Başlangıç]])*24)))</f>
        <v>28.833333333197515</v>
      </c>
    </row>
    <row r="330" spans="1:5" x14ac:dyDescent="0.3">
      <c r="A330">
        <v>247</v>
      </c>
      <c r="B330" t="s">
        <v>37</v>
      </c>
      <c r="C330" s="1">
        <v>44445.041666666664</v>
      </c>
      <c r="D330" s="1">
        <v>44447.472222222219</v>
      </c>
      <c r="E330" s="17">
        <f>IF(Tablo2[[#This Row],[Başlangıç]]="","",(IF(Tablo2[[#This Row],[Bitiş]]="",($G$1-Tablo2[[#This Row],[Başlangıç]])*24,(Tablo2[[#This Row],[Bitiş]]-Tablo2[[#This Row],[Başlangıç]])*24)))</f>
        <v>58.333333333313931</v>
      </c>
    </row>
    <row r="331" spans="1:5" x14ac:dyDescent="0.3">
      <c r="A331">
        <v>247</v>
      </c>
      <c r="B331" t="s">
        <v>65</v>
      </c>
      <c r="C331" s="1">
        <v>44446.5625</v>
      </c>
      <c r="D331" s="1">
        <v>44447.850694444445</v>
      </c>
      <c r="E331" s="17">
        <f>IF(Tablo2[[#This Row],[Başlangıç]]="","",(IF(Tablo2[[#This Row],[Bitiş]]="",($G$1-Tablo2[[#This Row],[Başlangıç]])*24,(Tablo2[[#This Row],[Bitiş]]-Tablo2[[#This Row],[Başlangıç]])*24)))</f>
        <v>30.916666666686069</v>
      </c>
    </row>
    <row r="332" spans="1:5" x14ac:dyDescent="0.3">
      <c r="A332">
        <v>248</v>
      </c>
      <c r="B332" t="s">
        <v>36</v>
      </c>
      <c r="C332" s="1">
        <v>44444.072916666664</v>
      </c>
      <c r="D332" s="1">
        <v>44445.520833333336</v>
      </c>
      <c r="E332" s="17">
        <f>IF(Tablo2[[#This Row],[Başlangıç]]="","",(IF(Tablo2[[#This Row],[Bitiş]]="",($G$1-Tablo2[[#This Row],[Başlangıç]])*24,(Tablo2[[#This Row],[Bitiş]]-Tablo2[[#This Row],[Başlangıç]])*24)))</f>
        <v>34.750000000116415</v>
      </c>
    </row>
    <row r="333" spans="1:5" x14ac:dyDescent="0.3">
      <c r="A333">
        <v>248</v>
      </c>
      <c r="B333" t="s">
        <v>84</v>
      </c>
      <c r="C333" s="1">
        <v>44448.256944444445</v>
      </c>
      <c r="D333" s="1">
        <v>44449.041666666664</v>
      </c>
      <c r="E333" s="17">
        <f>IF(Tablo2[[#This Row],[Başlangıç]]="","",(IF(Tablo2[[#This Row],[Bitiş]]="",($G$1-Tablo2[[#This Row],[Başlangıç]])*24,(Tablo2[[#This Row],[Bitiş]]-Tablo2[[#This Row],[Başlangıç]])*24)))</f>
        <v>18.833333333255723</v>
      </c>
    </row>
    <row r="334" spans="1:5" x14ac:dyDescent="0.3">
      <c r="A334">
        <v>248</v>
      </c>
      <c r="B334" t="s">
        <v>179</v>
      </c>
      <c r="C334" s="1">
        <v>44444.072916666664</v>
      </c>
      <c r="D334" s="1">
        <v>44444.09375</v>
      </c>
      <c r="E3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35" spans="1:5" x14ac:dyDescent="0.3">
      <c r="A335">
        <v>248</v>
      </c>
      <c r="B335" t="s">
        <v>68</v>
      </c>
      <c r="C335" s="1">
        <v>44447.333333333336</v>
      </c>
      <c r="D335" s="1">
        <v>44449.708333333336</v>
      </c>
      <c r="E335" s="17">
        <f>IF(Tablo2[[#This Row],[Başlangıç]]="","",(IF(Tablo2[[#This Row],[Bitiş]]="",($G$1-Tablo2[[#This Row],[Başlangıç]])*24,(Tablo2[[#This Row],[Bitiş]]-Tablo2[[#This Row],[Başlangıç]])*24)))</f>
        <v>57</v>
      </c>
    </row>
    <row r="336" spans="1:5" x14ac:dyDescent="0.3">
      <c r="A336">
        <v>248</v>
      </c>
      <c r="B336" t="s">
        <v>37</v>
      </c>
      <c r="C336" s="1">
        <v>44445.347222222219</v>
      </c>
      <c r="D336" s="1">
        <v>44448.244444444441</v>
      </c>
      <c r="E336" s="17">
        <f>IF(Tablo2[[#This Row],[Başlangıç]]="","",(IF(Tablo2[[#This Row],[Bitiş]]="",($G$1-Tablo2[[#This Row],[Başlangıç]])*24,(Tablo2[[#This Row],[Bitiş]]-Tablo2[[#This Row],[Başlangıç]])*24)))</f>
        <v>69.533333333325572</v>
      </c>
    </row>
    <row r="337" spans="1:5" x14ac:dyDescent="0.3">
      <c r="A337">
        <v>248</v>
      </c>
      <c r="B337" t="s">
        <v>65</v>
      </c>
      <c r="C337" s="1">
        <v>44447.173611111109</v>
      </c>
      <c r="D337" s="1">
        <v>44448.25</v>
      </c>
      <c r="E337" s="17">
        <f>IF(Tablo2[[#This Row],[Başlangıç]]="","",(IF(Tablo2[[#This Row],[Bitiş]]="",($G$1-Tablo2[[#This Row],[Başlangıç]])*24,(Tablo2[[#This Row],[Bitiş]]-Tablo2[[#This Row],[Başlangıç]])*24)))</f>
        <v>25.833333333372138</v>
      </c>
    </row>
    <row r="338" spans="1:5" x14ac:dyDescent="0.3">
      <c r="A338">
        <v>249</v>
      </c>
      <c r="B338" t="s">
        <v>36</v>
      </c>
      <c r="C338" s="1">
        <v>44444.375</v>
      </c>
      <c r="D338" s="1">
        <v>44446.375</v>
      </c>
      <c r="E338" s="17">
        <f>IF(Tablo2[[#This Row],[Başlangıç]]="","",(IF(Tablo2[[#This Row],[Bitiş]]="",($G$1-Tablo2[[#This Row],[Başlangıç]])*24,(Tablo2[[#This Row],[Bitiş]]-Tablo2[[#This Row],[Başlangıç]])*24)))</f>
        <v>48</v>
      </c>
    </row>
    <row r="339" spans="1:5" x14ac:dyDescent="0.3">
      <c r="A339">
        <v>249</v>
      </c>
      <c r="B339" t="s">
        <v>84</v>
      </c>
      <c r="C339" s="1">
        <v>44448.916666666664</v>
      </c>
      <c r="D339" s="1">
        <v>44450</v>
      </c>
      <c r="E339" s="17">
        <f>IF(Tablo2[[#This Row],[Başlangıç]]="","",(IF(Tablo2[[#This Row],[Bitiş]]="",($G$1-Tablo2[[#This Row],[Başlangıç]])*24,(Tablo2[[#This Row],[Bitiş]]-Tablo2[[#This Row],[Başlangıç]])*24)))</f>
        <v>26.000000000058208</v>
      </c>
    </row>
    <row r="340" spans="1:5" x14ac:dyDescent="0.3">
      <c r="A340">
        <v>249</v>
      </c>
      <c r="B340" t="s">
        <v>179</v>
      </c>
      <c r="C340" s="1">
        <v>44444.375</v>
      </c>
      <c r="D340" s="1">
        <v>44444.395833333336</v>
      </c>
      <c r="E34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41" spans="1:5" x14ac:dyDescent="0.3">
      <c r="A341">
        <v>249</v>
      </c>
      <c r="B341" t="s">
        <v>68</v>
      </c>
      <c r="C341" s="1">
        <v>44449.229166666664</v>
      </c>
      <c r="D341" s="1">
        <v>44450.375</v>
      </c>
      <c r="E341" s="17">
        <f>IF(Tablo2[[#This Row],[Başlangıç]]="","",(IF(Tablo2[[#This Row],[Bitiş]]="",($G$1-Tablo2[[#This Row],[Başlangıç]])*24,(Tablo2[[#This Row],[Bitiş]]-Tablo2[[#This Row],[Başlangıç]])*24)))</f>
        <v>27.500000000058208</v>
      </c>
    </row>
    <row r="342" spans="1:5" x14ac:dyDescent="0.3">
      <c r="A342">
        <v>249</v>
      </c>
      <c r="B342" t="s">
        <v>37</v>
      </c>
      <c r="C342" s="1">
        <v>44444.6875</v>
      </c>
      <c r="D342" s="1">
        <v>44449.864583333336</v>
      </c>
      <c r="E342" s="17">
        <f>IF(Tablo2[[#This Row],[Başlangıç]]="","",(IF(Tablo2[[#This Row],[Bitiş]]="",($G$1-Tablo2[[#This Row],[Başlangıç]])*24,(Tablo2[[#This Row],[Bitiş]]-Tablo2[[#This Row],[Başlangıç]])*24)))</f>
        <v>124.25000000005821</v>
      </c>
    </row>
    <row r="343" spans="1:5" x14ac:dyDescent="0.3">
      <c r="A343">
        <v>249</v>
      </c>
      <c r="B343" t="s">
        <v>65</v>
      </c>
      <c r="C343" s="1">
        <v>44447.722222222219</v>
      </c>
      <c r="D343" s="1">
        <v>44448.854166666664</v>
      </c>
      <c r="E343" s="17">
        <f>IF(Tablo2[[#This Row],[Başlangıç]]="","",(IF(Tablo2[[#This Row],[Bitiş]]="",($G$1-Tablo2[[#This Row],[Başlangıç]])*24,(Tablo2[[#This Row],[Bitiş]]-Tablo2[[#This Row],[Başlangıç]])*24)))</f>
        <v>27.166666666686069</v>
      </c>
    </row>
    <row r="344" spans="1:5" x14ac:dyDescent="0.3">
      <c r="A344">
        <v>250</v>
      </c>
      <c r="B344" t="s">
        <v>36</v>
      </c>
      <c r="C344" s="1">
        <v>44445.552083333336</v>
      </c>
      <c r="D344" s="1">
        <v>44449.25</v>
      </c>
      <c r="E344" s="17">
        <f>IF(Tablo2[[#This Row],[Başlangıç]]="","",(IF(Tablo2[[#This Row],[Bitiş]]="",($G$1-Tablo2[[#This Row],[Başlangıç]])*24,(Tablo2[[#This Row],[Bitiş]]-Tablo2[[#This Row],[Başlangıç]])*24)))</f>
        <v>88.749999999941792</v>
      </c>
    </row>
    <row r="345" spans="1:5" x14ac:dyDescent="0.3">
      <c r="A345">
        <v>250</v>
      </c>
      <c r="B345" t="s">
        <v>84</v>
      </c>
      <c r="C345" s="1">
        <v>44451.381944444445</v>
      </c>
      <c r="D345" s="1">
        <v>44452.25</v>
      </c>
      <c r="E345" s="17">
        <f>IF(Tablo2[[#This Row],[Başlangıç]]="","",(IF(Tablo2[[#This Row],[Bitiş]]="",($G$1-Tablo2[[#This Row],[Başlangıç]])*24,(Tablo2[[#This Row],[Bitiş]]-Tablo2[[#This Row],[Başlangıç]])*24)))</f>
        <v>20.833333333313931</v>
      </c>
    </row>
    <row r="346" spans="1:5" x14ac:dyDescent="0.3">
      <c r="A346">
        <v>250</v>
      </c>
      <c r="B346" t="s">
        <v>179</v>
      </c>
      <c r="C346" s="1">
        <v>44445.552083333336</v>
      </c>
      <c r="D346" s="1">
        <v>44445.572916666664</v>
      </c>
      <c r="E3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47" spans="1:5" x14ac:dyDescent="0.3">
      <c r="A347">
        <v>250</v>
      </c>
      <c r="B347" t="s">
        <v>68</v>
      </c>
      <c r="C347" s="1">
        <v>44451.5625</v>
      </c>
      <c r="D347" s="1">
        <v>44452.810416666667</v>
      </c>
      <c r="E347" s="17">
        <f>IF(Tablo2[[#This Row],[Başlangıç]]="","",(IF(Tablo2[[#This Row],[Bitiş]]="",($G$1-Tablo2[[#This Row],[Başlangıç]])*24,(Tablo2[[#This Row],[Bitiş]]-Tablo2[[#This Row],[Başlangıç]])*24)))</f>
        <v>29.950000000011642</v>
      </c>
    </row>
    <row r="348" spans="1:5" x14ac:dyDescent="0.3">
      <c r="A348">
        <v>250</v>
      </c>
      <c r="B348" t="s">
        <v>37</v>
      </c>
      <c r="C348" s="1">
        <v>44446.777777777781</v>
      </c>
      <c r="D348" s="1">
        <v>44450.788194444445</v>
      </c>
      <c r="E348" s="17">
        <f>IF(Tablo2[[#This Row],[Başlangıç]]="","",(IF(Tablo2[[#This Row],[Bitiş]]="",($G$1-Tablo2[[#This Row],[Başlangıç]])*24,(Tablo2[[#This Row],[Bitiş]]-Tablo2[[#This Row],[Başlangıç]])*24)))</f>
        <v>96.249999999941792</v>
      </c>
    </row>
    <row r="349" spans="1:5" x14ac:dyDescent="0.3">
      <c r="A349">
        <v>250</v>
      </c>
      <c r="B349" t="s">
        <v>65</v>
      </c>
      <c r="C349" s="1">
        <v>44449.517361111109</v>
      </c>
      <c r="D349" s="1">
        <v>44451.350694444445</v>
      </c>
      <c r="E349" s="17">
        <f>IF(Tablo2[[#This Row],[Başlangıç]]="","",(IF(Tablo2[[#This Row],[Bitiş]]="",($G$1-Tablo2[[#This Row],[Başlangıç]])*24,(Tablo2[[#This Row],[Bitiş]]-Tablo2[[#This Row],[Başlangıç]])*24)))</f>
        <v>44.000000000058208</v>
      </c>
    </row>
    <row r="350" spans="1:5" x14ac:dyDescent="0.3">
      <c r="A350">
        <v>251</v>
      </c>
      <c r="B350" t="s">
        <v>36</v>
      </c>
      <c r="C350" s="1">
        <v>44446.5</v>
      </c>
      <c r="D350" s="1">
        <v>44447.90347222222</v>
      </c>
      <c r="E350" s="17">
        <f>IF(Tablo2[[#This Row],[Başlangıç]]="","",(IF(Tablo2[[#This Row],[Bitiş]]="",($G$1-Tablo2[[#This Row],[Başlangıç]])*24,(Tablo2[[#This Row],[Bitiş]]-Tablo2[[#This Row],[Başlangıç]])*24)))</f>
        <v>33.683333333290648</v>
      </c>
    </row>
    <row r="351" spans="1:5" x14ac:dyDescent="0.3">
      <c r="A351">
        <v>251</v>
      </c>
      <c r="B351" t="s">
        <v>84</v>
      </c>
      <c r="C351" s="1">
        <v>44451.208333333336</v>
      </c>
      <c r="D351" s="1">
        <v>44455.482638888891</v>
      </c>
      <c r="E351" s="17">
        <f>IF(Tablo2[[#This Row],[Başlangıç]]="","",(IF(Tablo2[[#This Row],[Bitiş]]="",($G$1-Tablo2[[#This Row],[Başlangıç]])*24,(Tablo2[[#This Row],[Bitiş]]-Tablo2[[#This Row],[Başlangıç]])*24)))</f>
        <v>102.58333333331393</v>
      </c>
    </row>
    <row r="352" spans="1:5" x14ac:dyDescent="0.3">
      <c r="A352">
        <v>251</v>
      </c>
      <c r="B352" t="s">
        <v>179</v>
      </c>
      <c r="C352" s="1">
        <v>44446.5</v>
      </c>
      <c r="D352" s="1">
        <v>44446.520833333336</v>
      </c>
      <c r="E35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53" spans="1:5" x14ac:dyDescent="0.3">
      <c r="A353">
        <v>251</v>
      </c>
      <c r="B353" t="s">
        <v>68</v>
      </c>
      <c r="C353" s="1">
        <v>44455.020833333336</v>
      </c>
      <c r="D353" s="1">
        <v>44457.229166666664</v>
      </c>
      <c r="E353" s="17">
        <f>IF(Tablo2[[#This Row],[Başlangıç]]="","",(IF(Tablo2[[#This Row],[Bitiş]]="",($G$1-Tablo2[[#This Row],[Başlangıç]])*24,(Tablo2[[#This Row],[Bitiş]]-Tablo2[[#This Row],[Başlangıç]])*24)))</f>
        <v>52.999999999883585</v>
      </c>
    </row>
    <row r="354" spans="1:5" x14ac:dyDescent="0.3">
      <c r="A354">
        <v>251</v>
      </c>
      <c r="B354" t="s">
        <v>37</v>
      </c>
      <c r="C354" s="1">
        <v>44447.427083333336</v>
      </c>
      <c r="D354" s="1">
        <v>44454.486111111109</v>
      </c>
      <c r="E354" s="17">
        <f>IF(Tablo2[[#This Row],[Başlangıç]]="","",(IF(Tablo2[[#This Row],[Bitiş]]="",($G$1-Tablo2[[#This Row],[Başlangıç]])*24,(Tablo2[[#This Row],[Bitiş]]-Tablo2[[#This Row],[Başlangıç]])*24)))</f>
        <v>169.41666666656965</v>
      </c>
    </row>
    <row r="355" spans="1:5" x14ac:dyDescent="0.3">
      <c r="A355">
        <v>251</v>
      </c>
      <c r="B355" t="s">
        <v>65</v>
      </c>
      <c r="C355" s="1">
        <v>44453.71875</v>
      </c>
      <c r="D355" s="1">
        <v>44454.791666666664</v>
      </c>
      <c r="E355" s="17">
        <f>IF(Tablo2[[#This Row],[Başlangıç]]="","",(IF(Tablo2[[#This Row],[Bitiş]]="",($G$1-Tablo2[[#This Row],[Başlangıç]])*24,(Tablo2[[#This Row],[Bitiş]]-Tablo2[[#This Row],[Başlangıç]])*24)))</f>
        <v>25.749999999941792</v>
      </c>
    </row>
    <row r="356" spans="1:5" x14ac:dyDescent="0.3">
      <c r="A356">
        <v>252</v>
      </c>
      <c r="B356" t="s">
        <v>36</v>
      </c>
      <c r="C356" s="1">
        <v>44446.604166666664</v>
      </c>
      <c r="D356" s="1">
        <v>44448.0625</v>
      </c>
      <c r="E356" s="17">
        <f>IF(Tablo2[[#This Row],[Başlangıç]]="","",(IF(Tablo2[[#This Row],[Bitiş]]="",($G$1-Tablo2[[#This Row],[Başlangıç]])*24,(Tablo2[[#This Row],[Bitiş]]-Tablo2[[#This Row],[Başlangıç]])*24)))</f>
        <v>35.000000000058208</v>
      </c>
    </row>
    <row r="357" spans="1:5" x14ac:dyDescent="0.3">
      <c r="A357">
        <v>252</v>
      </c>
      <c r="B357" t="s">
        <v>84</v>
      </c>
      <c r="C357" s="1">
        <v>44450.46875</v>
      </c>
      <c r="D357" s="1">
        <v>44451.805555555555</v>
      </c>
      <c r="E357" s="17">
        <f>IF(Tablo2[[#This Row],[Başlangıç]]="","",(IF(Tablo2[[#This Row],[Bitiş]]="",($G$1-Tablo2[[#This Row],[Başlangıç]])*24,(Tablo2[[#This Row],[Bitiş]]-Tablo2[[#This Row],[Başlangıç]])*24)))</f>
        <v>32.083333333313931</v>
      </c>
    </row>
    <row r="358" spans="1:5" x14ac:dyDescent="0.3">
      <c r="A358">
        <v>252</v>
      </c>
      <c r="B358" t="s">
        <v>179</v>
      </c>
      <c r="C358" s="1">
        <v>44446.604166666664</v>
      </c>
      <c r="D358" s="1">
        <v>44446.625</v>
      </c>
      <c r="E35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59" spans="1:5" x14ac:dyDescent="0.3">
      <c r="A359">
        <v>252</v>
      </c>
      <c r="B359" t="s">
        <v>68</v>
      </c>
      <c r="C359" s="1">
        <v>44450.916666666664</v>
      </c>
      <c r="D359" s="1">
        <v>44452.402777777781</v>
      </c>
      <c r="E359" s="17">
        <f>IF(Tablo2[[#This Row],[Başlangıç]]="","",(IF(Tablo2[[#This Row],[Bitiş]]="",($G$1-Tablo2[[#This Row],[Başlangıç]])*24,(Tablo2[[#This Row],[Bitiş]]-Tablo2[[#This Row],[Başlangıç]])*24)))</f>
        <v>35.666666666802485</v>
      </c>
    </row>
    <row r="360" spans="1:5" x14ac:dyDescent="0.3">
      <c r="A360">
        <v>252</v>
      </c>
      <c r="B360" t="s">
        <v>37</v>
      </c>
      <c r="C360" s="1">
        <v>44447.789583333331</v>
      </c>
      <c r="D360" s="1">
        <v>44451.161111111112</v>
      </c>
      <c r="E360" s="17">
        <f>IF(Tablo2[[#This Row],[Başlangıç]]="","",(IF(Tablo2[[#This Row],[Bitiş]]="",($G$1-Tablo2[[#This Row],[Başlangıç]])*24,(Tablo2[[#This Row],[Bitiş]]-Tablo2[[#This Row],[Başlangıç]])*24)))</f>
        <v>80.916666666744277</v>
      </c>
    </row>
    <row r="361" spans="1:5" x14ac:dyDescent="0.3">
      <c r="A361">
        <v>252</v>
      </c>
      <c r="B361" t="s">
        <v>65</v>
      </c>
      <c r="C361" s="1">
        <v>44449.6875</v>
      </c>
      <c r="D361" s="1">
        <v>44450.580555555556</v>
      </c>
      <c r="E361" s="17">
        <f>IF(Tablo2[[#This Row],[Başlangıç]]="","",(IF(Tablo2[[#This Row],[Bitiş]]="",($G$1-Tablo2[[#This Row],[Başlangıç]])*24,(Tablo2[[#This Row],[Bitiş]]-Tablo2[[#This Row],[Başlangıç]])*24)))</f>
        <v>21.433333333348855</v>
      </c>
    </row>
    <row r="362" spans="1:5" x14ac:dyDescent="0.3">
      <c r="A362">
        <v>253</v>
      </c>
      <c r="B362" t="s">
        <v>36</v>
      </c>
      <c r="C362" s="1">
        <v>44447.239583333336</v>
      </c>
      <c r="D362" s="1">
        <v>44449.75</v>
      </c>
      <c r="E362" s="17">
        <f>IF(Tablo2[[#This Row],[Başlangıç]]="","",(IF(Tablo2[[#This Row],[Bitiş]]="",($G$1-Tablo2[[#This Row],[Başlangıç]])*24,(Tablo2[[#This Row],[Bitiş]]-Tablo2[[#This Row],[Başlangıç]])*24)))</f>
        <v>60.249999999941792</v>
      </c>
    </row>
    <row r="363" spans="1:5" x14ac:dyDescent="0.3">
      <c r="A363">
        <v>253</v>
      </c>
      <c r="B363" t="s">
        <v>84</v>
      </c>
      <c r="C363" s="1">
        <v>44451.645833333336</v>
      </c>
      <c r="D363" s="1">
        <v>44451.916666666664</v>
      </c>
      <c r="E363" s="17">
        <f>IF(Tablo2[[#This Row],[Başlangıç]]="","",(IF(Tablo2[[#This Row],[Bitiş]]="",($G$1-Tablo2[[#This Row],[Başlangıç]])*24,(Tablo2[[#This Row],[Bitiş]]-Tablo2[[#This Row],[Başlangıç]])*24)))</f>
        <v>6.4999999998835847</v>
      </c>
    </row>
    <row r="364" spans="1:5" x14ac:dyDescent="0.3">
      <c r="A364">
        <v>253</v>
      </c>
      <c r="B364" t="s">
        <v>179</v>
      </c>
      <c r="C364" s="1">
        <v>44447.239583333336</v>
      </c>
      <c r="D364" s="1">
        <v>44447.260416666664</v>
      </c>
      <c r="E36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65" spans="1:5" x14ac:dyDescent="0.3">
      <c r="A365">
        <v>253</v>
      </c>
      <c r="B365" t="s">
        <v>68</v>
      </c>
      <c r="C365" s="1">
        <v>44451.923611111109</v>
      </c>
      <c r="D365" s="1">
        <v>44453.25</v>
      </c>
      <c r="E365" s="17">
        <f>IF(Tablo2[[#This Row],[Başlangıç]]="","",(IF(Tablo2[[#This Row],[Bitiş]]="",($G$1-Tablo2[[#This Row],[Başlangıç]])*24,(Tablo2[[#This Row],[Bitiş]]-Tablo2[[#This Row],[Başlangıç]])*24)))</f>
        <v>31.833333333372138</v>
      </c>
    </row>
    <row r="366" spans="1:5" x14ac:dyDescent="0.3">
      <c r="A366">
        <v>253</v>
      </c>
      <c r="B366" t="s">
        <v>37</v>
      </c>
      <c r="C366" s="1">
        <v>44449.79791666667</v>
      </c>
      <c r="D366" s="1">
        <v>44451.083333333336</v>
      </c>
      <c r="E366" s="17">
        <f>IF(Tablo2[[#This Row],[Başlangıç]]="","",(IF(Tablo2[[#This Row],[Bitiş]]="",($G$1-Tablo2[[#This Row],[Başlangıç]])*24,(Tablo2[[#This Row],[Bitiş]]-Tablo2[[#This Row],[Başlangıç]])*24)))</f>
        <v>30.849999999976717</v>
      </c>
    </row>
    <row r="367" spans="1:5" x14ac:dyDescent="0.3">
      <c r="A367">
        <v>253</v>
      </c>
      <c r="B367" t="s">
        <v>65</v>
      </c>
      <c r="C367" s="1">
        <v>44450.458333333336</v>
      </c>
      <c r="D367" s="1">
        <v>44451.567361111112</v>
      </c>
      <c r="E367" s="17">
        <f>IF(Tablo2[[#This Row],[Başlangıç]]="","",(IF(Tablo2[[#This Row],[Bitiş]]="",($G$1-Tablo2[[#This Row],[Başlangıç]])*24,(Tablo2[[#This Row],[Bitiş]]-Tablo2[[#This Row],[Başlangıç]])*24)))</f>
        <v>26.616666666639503</v>
      </c>
    </row>
    <row r="368" spans="1:5" x14ac:dyDescent="0.3">
      <c r="A368">
        <v>254</v>
      </c>
      <c r="B368" t="s">
        <v>36</v>
      </c>
      <c r="C368" s="1">
        <v>44447.739583333336</v>
      </c>
      <c r="D368" s="1">
        <v>44449.227777777778</v>
      </c>
      <c r="E368" s="17">
        <f>IF(Tablo2[[#This Row],[Başlangıç]]="","",(IF(Tablo2[[#This Row],[Bitiş]]="",($G$1-Tablo2[[#This Row],[Başlangıç]])*24,(Tablo2[[#This Row],[Bitiş]]-Tablo2[[#This Row],[Başlangıç]])*24)))</f>
        <v>35.71666666661622</v>
      </c>
    </row>
    <row r="369" spans="1:5" x14ac:dyDescent="0.3">
      <c r="A369">
        <v>254</v>
      </c>
      <c r="B369" t="s">
        <v>84</v>
      </c>
      <c r="C369" s="1">
        <v>44462.541666666664</v>
      </c>
      <c r="D369" s="1">
        <v>44462.541666666664</v>
      </c>
      <c r="E369" s="17">
        <f>IF(Tablo2[[#This Row],[Başlangıç]]="","",(IF(Tablo2[[#This Row],[Bitiş]]="",($G$1-Tablo2[[#This Row],[Başlangıç]])*24,(Tablo2[[#This Row],[Bitiş]]-Tablo2[[#This Row],[Başlangıç]])*24)))</f>
        <v>0</v>
      </c>
    </row>
    <row r="370" spans="1:5" x14ac:dyDescent="0.3">
      <c r="A370">
        <v>254</v>
      </c>
      <c r="B370" t="s">
        <v>179</v>
      </c>
      <c r="C370" s="1">
        <v>44447.739583333336</v>
      </c>
      <c r="D370" s="1">
        <v>44447.760416666664</v>
      </c>
      <c r="E37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71" spans="1:5" x14ac:dyDescent="0.3">
      <c r="A371">
        <v>254</v>
      </c>
      <c r="B371" t="s">
        <v>68</v>
      </c>
      <c r="C371" s="1"/>
      <c r="D371" s="1"/>
      <c r="E371" s="17" t="str">
        <f>IF(Tablo2[[#This Row],[Başlangıç]]="","",(IF(Tablo2[[#This Row],[Bitiş]]="",($G$1-Tablo2[[#This Row],[Başlangıç]])*24,(Tablo2[[#This Row],[Bitiş]]-Tablo2[[#This Row],[Başlangıç]])*24)))</f>
        <v/>
      </c>
    </row>
    <row r="372" spans="1:5" x14ac:dyDescent="0.3">
      <c r="A372">
        <v>254</v>
      </c>
      <c r="B372" t="s">
        <v>37</v>
      </c>
      <c r="C372" s="1">
        <v>44448.715277777781</v>
      </c>
      <c r="D372" s="1">
        <v>44494.916666666664</v>
      </c>
      <c r="E372" s="17">
        <f>IF(Tablo2[[#This Row],[Başlangıç]]="","",(IF(Tablo2[[#This Row],[Bitiş]]="",($G$1-Tablo2[[#This Row],[Başlangıç]])*24,(Tablo2[[#This Row],[Bitiş]]-Tablo2[[#This Row],[Başlangıç]])*24)))</f>
        <v>1108.8333333331975</v>
      </c>
    </row>
    <row r="373" spans="1:5" x14ac:dyDescent="0.3">
      <c r="A373">
        <v>254</v>
      </c>
      <c r="B373" t="s">
        <v>65</v>
      </c>
      <c r="C373" s="1">
        <v>44507.083333333336</v>
      </c>
      <c r="D373" s="1">
        <v>44507.222222222219</v>
      </c>
      <c r="E373" s="17">
        <f>IF(Tablo2[[#This Row],[Başlangıç]]="","",(IF(Tablo2[[#This Row],[Bitiş]]="",($G$1-Tablo2[[#This Row],[Başlangıç]])*24,(Tablo2[[#This Row],[Bitiş]]-Tablo2[[#This Row],[Başlangıç]])*24)))</f>
        <v>3.3333333331975155</v>
      </c>
    </row>
    <row r="374" spans="1:5" x14ac:dyDescent="0.3">
      <c r="A374">
        <v>255</v>
      </c>
      <c r="B374" t="s">
        <v>36</v>
      </c>
      <c r="C374" s="1">
        <v>44448.145833333336</v>
      </c>
      <c r="D374" s="1">
        <v>44449.758333333331</v>
      </c>
      <c r="E374" s="17">
        <f>IF(Tablo2[[#This Row],[Başlangıç]]="","",(IF(Tablo2[[#This Row],[Bitiş]]="",($G$1-Tablo2[[#This Row],[Başlangıç]])*24,(Tablo2[[#This Row],[Bitiş]]-Tablo2[[#This Row],[Başlangıç]])*24)))</f>
        <v>38.699999999895226</v>
      </c>
    </row>
    <row r="375" spans="1:5" x14ac:dyDescent="0.3">
      <c r="A375">
        <v>255</v>
      </c>
      <c r="B375" t="s">
        <v>84</v>
      </c>
      <c r="C375" s="1">
        <v>44452.298611111109</v>
      </c>
      <c r="D375" s="1">
        <v>44453.1875</v>
      </c>
      <c r="E375" s="17">
        <f>IF(Tablo2[[#This Row],[Başlangıç]]="","",(IF(Tablo2[[#This Row],[Bitiş]]="",($G$1-Tablo2[[#This Row],[Başlangıç]])*24,(Tablo2[[#This Row],[Bitiş]]-Tablo2[[#This Row],[Başlangıç]])*24)))</f>
        <v>21.333333333372138</v>
      </c>
    </row>
    <row r="376" spans="1:5" x14ac:dyDescent="0.3">
      <c r="A376">
        <v>255</v>
      </c>
      <c r="B376" t="s">
        <v>179</v>
      </c>
      <c r="C376" s="1">
        <v>44448.145833333336</v>
      </c>
      <c r="D376" s="1">
        <v>44448.166666666664</v>
      </c>
      <c r="E37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377" spans="1:5" x14ac:dyDescent="0.3">
      <c r="A377">
        <v>255</v>
      </c>
      <c r="B377" t="s">
        <v>68</v>
      </c>
      <c r="C377" s="1">
        <v>44452.916666666664</v>
      </c>
      <c r="D377" s="1">
        <v>44454.159722222219</v>
      </c>
      <c r="E377" s="17">
        <f>IF(Tablo2[[#This Row],[Başlangıç]]="","",(IF(Tablo2[[#This Row],[Bitiş]]="",($G$1-Tablo2[[#This Row],[Başlangıç]])*24,(Tablo2[[#This Row],[Bitiş]]-Tablo2[[#This Row],[Başlangıç]])*24)))</f>
        <v>29.833333333313931</v>
      </c>
    </row>
    <row r="378" spans="1:5" x14ac:dyDescent="0.3">
      <c r="A378">
        <v>255</v>
      </c>
      <c r="B378" t="s">
        <v>37</v>
      </c>
      <c r="C378" s="1">
        <v>44448.013888888891</v>
      </c>
      <c r="D378" s="1">
        <v>44452.09375</v>
      </c>
      <c r="E378" s="17">
        <f>IF(Tablo2[[#This Row],[Başlangıç]]="","",(IF(Tablo2[[#This Row],[Bitiş]]="",($G$1-Tablo2[[#This Row],[Başlangıç]])*24,(Tablo2[[#This Row],[Bitiş]]-Tablo2[[#This Row],[Başlangıç]])*24)))</f>
        <v>97.916666666627862</v>
      </c>
    </row>
    <row r="379" spans="1:5" x14ac:dyDescent="0.3">
      <c r="A379">
        <v>255</v>
      </c>
      <c r="B379" t="s">
        <v>65</v>
      </c>
      <c r="C379" s="1">
        <v>44451.34375</v>
      </c>
      <c r="D379" s="1">
        <v>44452.25</v>
      </c>
      <c r="E379" s="17">
        <f>IF(Tablo2[[#This Row],[Başlangıç]]="","",(IF(Tablo2[[#This Row],[Bitiş]]="",($G$1-Tablo2[[#This Row],[Başlangıç]])*24,(Tablo2[[#This Row],[Bitiş]]-Tablo2[[#This Row],[Başlangıç]])*24)))</f>
        <v>21.75</v>
      </c>
    </row>
    <row r="380" spans="1:5" x14ac:dyDescent="0.3">
      <c r="A380">
        <v>256</v>
      </c>
      <c r="B380" t="s">
        <v>36</v>
      </c>
      <c r="C380" s="1">
        <v>44448.6875</v>
      </c>
      <c r="D380" s="1">
        <v>44450.126388888886</v>
      </c>
      <c r="E380" s="17">
        <f>IF(Tablo2[[#This Row],[Başlangıç]]="","",(IF(Tablo2[[#This Row],[Bitiş]]="",($G$1-Tablo2[[#This Row],[Başlangıç]])*24,(Tablo2[[#This Row],[Bitiş]]-Tablo2[[#This Row],[Başlangıç]])*24)))</f>
        <v>34.533333333267365</v>
      </c>
    </row>
    <row r="381" spans="1:5" x14ac:dyDescent="0.3">
      <c r="A381">
        <v>256</v>
      </c>
      <c r="B381" t="s">
        <v>84</v>
      </c>
      <c r="C381" s="1">
        <v>44459.083333333336</v>
      </c>
      <c r="D381" s="1">
        <v>44462.542361111111</v>
      </c>
      <c r="E381" s="17">
        <f>IF(Tablo2[[#This Row],[Başlangıç]]="","",(IF(Tablo2[[#This Row],[Bitiş]]="",($G$1-Tablo2[[#This Row],[Başlangıç]])*24,(Tablo2[[#This Row],[Bitiş]]-Tablo2[[#This Row],[Başlangıç]])*24)))</f>
        <v>83.016666666604578</v>
      </c>
    </row>
    <row r="382" spans="1:5" x14ac:dyDescent="0.3">
      <c r="A382">
        <v>256</v>
      </c>
      <c r="B382" t="s">
        <v>179</v>
      </c>
      <c r="C382" s="1">
        <v>44448.6875</v>
      </c>
      <c r="D382" s="1">
        <v>44448.708333333336</v>
      </c>
      <c r="E3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83" spans="1:5" x14ac:dyDescent="0.3">
      <c r="A383">
        <v>256</v>
      </c>
      <c r="B383" t="s">
        <v>68</v>
      </c>
      <c r="C383" s="1">
        <v>44461.395833333336</v>
      </c>
      <c r="D383" s="1">
        <v>44464.419444444444</v>
      </c>
      <c r="E383" s="17">
        <f>IF(Tablo2[[#This Row],[Başlangıç]]="","",(IF(Tablo2[[#This Row],[Bitiş]]="",($G$1-Tablo2[[#This Row],[Başlangıç]])*24,(Tablo2[[#This Row],[Bitiş]]-Tablo2[[#This Row],[Başlangıç]])*24)))</f>
        <v>72.566666666592937</v>
      </c>
    </row>
    <row r="384" spans="1:5" x14ac:dyDescent="0.3">
      <c r="A384">
        <v>256</v>
      </c>
      <c r="B384" t="s">
        <v>37</v>
      </c>
      <c r="C384" s="1">
        <v>44449.527777777781</v>
      </c>
      <c r="D384" s="1">
        <v>44458.708333333336</v>
      </c>
      <c r="E384" s="17">
        <f>IF(Tablo2[[#This Row],[Başlangıç]]="","",(IF(Tablo2[[#This Row],[Bitiş]]="",($G$1-Tablo2[[#This Row],[Başlangıç]])*24,(Tablo2[[#This Row],[Bitiş]]-Tablo2[[#This Row],[Başlangıç]])*24)))</f>
        <v>220.33333333331393</v>
      </c>
    </row>
    <row r="385" spans="1:5" x14ac:dyDescent="0.3">
      <c r="A385">
        <v>256</v>
      </c>
      <c r="B385" t="s">
        <v>65</v>
      </c>
      <c r="C385" s="1">
        <v>44457.010416666664</v>
      </c>
      <c r="D385" s="1">
        <v>44459.0625</v>
      </c>
      <c r="E385" s="17">
        <f>IF(Tablo2[[#This Row],[Başlangıç]]="","",(IF(Tablo2[[#This Row],[Bitiş]]="",($G$1-Tablo2[[#This Row],[Başlangıç]])*24,(Tablo2[[#This Row],[Bitiş]]-Tablo2[[#This Row],[Başlangıç]])*24)))</f>
        <v>49.250000000058208</v>
      </c>
    </row>
    <row r="386" spans="1:5" x14ac:dyDescent="0.3">
      <c r="A386">
        <v>257</v>
      </c>
      <c r="B386" t="s">
        <v>36</v>
      </c>
      <c r="C386" s="1">
        <v>44449.416666666664</v>
      </c>
      <c r="D386" s="1">
        <v>44451.5</v>
      </c>
      <c r="E386" s="17">
        <f>IF(Tablo2[[#This Row],[Başlangıç]]="","",(IF(Tablo2[[#This Row],[Bitiş]]="",($G$1-Tablo2[[#This Row],[Başlangıç]])*24,(Tablo2[[#This Row],[Bitiş]]-Tablo2[[#This Row],[Başlangıç]])*24)))</f>
        <v>50.000000000058208</v>
      </c>
    </row>
    <row r="387" spans="1:5" x14ac:dyDescent="0.3">
      <c r="A387">
        <v>257</v>
      </c>
      <c r="B387" t="s">
        <v>84</v>
      </c>
      <c r="C387" s="1">
        <v>44455.836805555555</v>
      </c>
      <c r="D387" s="1">
        <v>44458.916666666664</v>
      </c>
      <c r="E387" s="17">
        <f>IF(Tablo2[[#This Row],[Başlangıç]]="","",(IF(Tablo2[[#This Row],[Bitiş]]="",($G$1-Tablo2[[#This Row],[Başlangıç]])*24,(Tablo2[[#This Row],[Bitiş]]-Tablo2[[#This Row],[Başlangıç]])*24)))</f>
        <v>73.916666666627862</v>
      </c>
    </row>
    <row r="388" spans="1:5" x14ac:dyDescent="0.3">
      <c r="A388">
        <v>257</v>
      </c>
      <c r="B388" t="s">
        <v>179</v>
      </c>
      <c r="C388" s="1">
        <v>44449.416666666664</v>
      </c>
      <c r="D388" s="1">
        <v>44449.4375</v>
      </c>
      <c r="E3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89" spans="1:5" x14ac:dyDescent="0.3">
      <c r="A389">
        <v>257</v>
      </c>
      <c r="B389" t="s">
        <v>68</v>
      </c>
      <c r="C389" s="1">
        <v>44456.013888888891</v>
      </c>
      <c r="D389" s="1">
        <v>44459.645833333336</v>
      </c>
      <c r="E389" s="17">
        <f>IF(Tablo2[[#This Row],[Başlangıç]]="","",(IF(Tablo2[[#This Row],[Bitiş]]="",($G$1-Tablo2[[#This Row],[Başlangıç]])*24,(Tablo2[[#This Row],[Bitiş]]-Tablo2[[#This Row],[Başlangıç]])*24)))</f>
        <v>87.166666666686069</v>
      </c>
    </row>
    <row r="390" spans="1:5" x14ac:dyDescent="0.3">
      <c r="A390">
        <v>257</v>
      </c>
      <c r="B390" t="s">
        <v>37</v>
      </c>
      <c r="C390" s="1">
        <v>44450.017361111109</v>
      </c>
      <c r="D390" s="1">
        <v>44457.652777777781</v>
      </c>
      <c r="E390" s="17">
        <f>IF(Tablo2[[#This Row],[Başlangıç]]="","",(IF(Tablo2[[#This Row],[Bitiş]]="",($G$1-Tablo2[[#This Row],[Başlangıç]])*24,(Tablo2[[#This Row],[Bitiş]]-Tablo2[[#This Row],[Başlangıç]])*24)))</f>
        <v>183.25000000011642</v>
      </c>
    </row>
    <row r="391" spans="1:5" x14ac:dyDescent="0.3">
      <c r="A391">
        <v>257</v>
      </c>
      <c r="B391" t="s">
        <v>65</v>
      </c>
      <c r="C391" s="1">
        <v>44454.280555555553</v>
      </c>
      <c r="D391" s="1">
        <v>44455.78125</v>
      </c>
      <c r="E391" s="17">
        <f>IF(Tablo2[[#This Row],[Başlangıç]]="","",(IF(Tablo2[[#This Row],[Bitiş]]="",($G$1-Tablo2[[#This Row],[Başlangıç]])*24,(Tablo2[[#This Row],[Bitiş]]-Tablo2[[#This Row],[Başlangıç]])*24)))</f>
        <v>36.016666666720994</v>
      </c>
    </row>
    <row r="392" spans="1:5" x14ac:dyDescent="0.3">
      <c r="A392">
        <v>258</v>
      </c>
      <c r="B392" t="s">
        <v>36</v>
      </c>
      <c r="C392" s="1">
        <v>44449.9375</v>
      </c>
      <c r="D392" s="1">
        <v>44451.786805555559</v>
      </c>
      <c r="E392" s="17">
        <f>IF(Tablo2[[#This Row],[Başlangıç]]="","",(IF(Tablo2[[#This Row],[Bitiş]]="",($G$1-Tablo2[[#This Row],[Başlangıç]])*24,(Tablo2[[#This Row],[Bitiş]]-Tablo2[[#This Row],[Başlangıç]])*24)))</f>
        <v>44.383333333418705</v>
      </c>
    </row>
    <row r="393" spans="1:5" x14ac:dyDescent="0.3">
      <c r="A393">
        <v>258</v>
      </c>
      <c r="B393" t="s">
        <v>84</v>
      </c>
      <c r="C393" s="1">
        <v>44454.262499999997</v>
      </c>
      <c r="D393" s="1">
        <v>44455.319444444445</v>
      </c>
      <c r="E393" s="17">
        <f>IF(Tablo2[[#This Row],[Başlangıç]]="","",(IF(Tablo2[[#This Row],[Bitiş]]="",($G$1-Tablo2[[#This Row],[Başlangıç]])*24,(Tablo2[[#This Row],[Bitiş]]-Tablo2[[#This Row],[Başlangıç]])*24)))</f>
        <v>25.366666666755918</v>
      </c>
    </row>
    <row r="394" spans="1:5" x14ac:dyDescent="0.3">
      <c r="A394">
        <v>258</v>
      </c>
      <c r="B394" t="s">
        <v>179</v>
      </c>
      <c r="C394" s="1">
        <v>44449.9375</v>
      </c>
      <c r="D394" s="1">
        <v>44449.958333333336</v>
      </c>
      <c r="E39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395" spans="1:5" x14ac:dyDescent="0.3">
      <c r="A395">
        <v>258</v>
      </c>
      <c r="B395" t="s">
        <v>68</v>
      </c>
      <c r="C395" s="1">
        <v>44454.854166666664</v>
      </c>
      <c r="D395" s="1">
        <v>44455.906944444447</v>
      </c>
      <c r="E395" s="17">
        <f>IF(Tablo2[[#This Row],[Başlangıç]]="","",(IF(Tablo2[[#This Row],[Bitiş]]="",($G$1-Tablo2[[#This Row],[Başlangıç]])*24,(Tablo2[[#This Row],[Bitiş]]-Tablo2[[#This Row],[Başlangıç]])*24)))</f>
        <v>25.266666666779201</v>
      </c>
    </row>
    <row r="396" spans="1:5" x14ac:dyDescent="0.3">
      <c r="A396">
        <v>258</v>
      </c>
      <c r="B396" t="s">
        <v>37</v>
      </c>
      <c r="C396" s="1">
        <v>44451.069444444445</v>
      </c>
      <c r="D396" s="1">
        <v>44454.09375</v>
      </c>
      <c r="E396" s="17">
        <f>IF(Tablo2[[#This Row],[Başlangıç]]="","",(IF(Tablo2[[#This Row],[Bitiş]]="",($G$1-Tablo2[[#This Row],[Başlangıç]])*24,(Tablo2[[#This Row],[Bitiş]]-Tablo2[[#This Row],[Başlangıç]])*24)))</f>
        <v>72.583333333313931</v>
      </c>
    </row>
    <row r="397" spans="1:5" x14ac:dyDescent="0.3">
      <c r="A397">
        <v>258</v>
      </c>
      <c r="B397" t="s">
        <v>65</v>
      </c>
      <c r="C397" s="1">
        <v>44452.677083333336</v>
      </c>
      <c r="D397" s="1">
        <v>44454.25</v>
      </c>
      <c r="E397" s="17">
        <f>IF(Tablo2[[#This Row],[Başlangıç]]="","",(IF(Tablo2[[#This Row],[Bitiş]]="",($G$1-Tablo2[[#This Row],[Başlangıç]])*24,(Tablo2[[#This Row],[Bitiş]]-Tablo2[[#This Row],[Başlangıç]])*24)))</f>
        <v>37.749999999941792</v>
      </c>
    </row>
    <row r="398" spans="1:5" x14ac:dyDescent="0.3">
      <c r="A398">
        <v>259</v>
      </c>
      <c r="B398" t="s">
        <v>36</v>
      </c>
      <c r="C398" s="1">
        <v>44450.458333333336</v>
      </c>
      <c r="D398" s="1">
        <v>44452.375</v>
      </c>
      <c r="E398" s="17">
        <f>IF(Tablo2[[#This Row],[Başlangıç]]="","",(IF(Tablo2[[#This Row],[Bitiş]]="",($G$1-Tablo2[[#This Row],[Başlangıç]])*24,(Tablo2[[#This Row],[Bitiş]]-Tablo2[[#This Row],[Başlangıç]])*24)))</f>
        <v>45.999999999941792</v>
      </c>
    </row>
    <row r="399" spans="1:5" x14ac:dyDescent="0.3">
      <c r="A399">
        <v>259</v>
      </c>
      <c r="B399" t="s">
        <v>84</v>
      </c>
      <c r="C399" s="1">
        <v>44457.611111111109</v>
      </c>
      <c r="D399" s="1">
        <v>44459.666666666664</v>
      </c>
      <c r="E399" s="17">
        <f>IF(Tablo2[[#This Row],[Başlangıç]]="","",(IF(Tablo2[[#This Row],[Bitiş]]="",($G$1-Tablo2[[#This Row],[Başlangıç]])*24,(Tablo2[[#This Row],[Bitiş]]-Tablo2[[#This Row],[Başlangıç]])*24)))</f>
        <v>49.333333333313931</v>
      </c>
    </row>
    <row r="400" spans="1:5" x14ac:dyDescent="0.3">
      <c r="A400">
        <v>259</v>
      </c>
      <c r="B400" t="s">
        <v>179</v>
      </c>
      <c r="C400" s="1">
        <v>44450.458333333336</v>
      </c>
      <c r="D400" s="1">
        <v>44450.479166666664</v>
      </c>
      <c r="E40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01" spans="1:5" x14ac:dyDescent="0.3">
      <c r="A401">
        <v>259</v>
      </c>
      <c r="B401" t="s">
        <v>68</v>
      </c>
      <c r="C401" s="1">
        <v>44457.510416666664</v>
      </c>
      <c r="D401" s="1">
        <v>44460.625</v>
      </c>
      <c r="E401" s="17">
        <f>IF(Tablo2[[#This Row],[Başlangıç]]="","",(IF(Tablo2[[#This Row],[Bitiş]]="",($G$1-Tablo2[[#This Row],[Başlangıç]])*24,(Tablo2[[#This Row],[Bitiş]]-Tablo2[[#This Row],[Başlangıç]])*24)))</f>
        <v>74.750000000058208</v>
      </c>
    </row>
    <row r="402" spans="1:5" x14ac:dyDescent="0.3">
      <c r="A402">
        <v>259</v>
      </c>
      <c r="B402" t="s">
        <v>37</v>
      </c>
      <c r="C402" s="1">
        <v>44452.020833333336</v>
      </c>
      <c r="D402" s="1">
        <v>44458.8125</v>
      </c>
      <c r="E402" s="17">
        <f>IF(Tablo2[[#This Row],[Başlangıç]]="","",(IF(Tablo2[[#This Row],[Bitiş]]="",($G$1-Tablo2[[#This Row],[Başlangıç]])*24,(Tablo2[[#This Row],[Bitiş]]-Tablo2[[#This Row],[Başlangıç]])*24)))</f>
        <v>162.99999999994179</v>
      </c>
    </row>
    <row r="403" spans="1:5" x14ac:dyDescent="0.3">
      <c r="A403">
        <v>259</v>
      </c>
      <c r="B403" t="s">
        <v>65</v>
      </c>
      <c r="C403" s="1">
        <v>44456.232638888891</v>
      </c>
      <c r="D403" s="1">
        <v>44457.555555555555</v>
      </c>
      <c r="E403" s="17">
        <f>IF(Tablo2[[#This Row],[Başlangıç]]="","",(IF(Tablo2[[#This Row],[Bitiş]]="",($G$1-Tablo2[[#This Row],[Başlangıç]])*24,(Tablo2[[#This Row],[Bitiş]]-Tablo2[[#This Row],[Başlangıç]])*24)))</f>
        <v>31.749999999941792</v>
      </c>
    </row>
    <row r="404" spans="1:5" x14ac:dyDescent="0.3">
      <c r="A404">
        <v>260</v>
      </c>
      <c r="B404" t="s">
        <v>36</v>
      </c>
      <c r="C404" s="1">
        <v>44450.604166666664</v>
      </c>
      <c r="D404" s="1">
        <v>44453.166666666664</v>
      </c>
      <c r="E404" s="17">
        <f>IF(Tablo2[[#This Row],[Başlangıç]]="","",(IF(Tablo2[[#This Row],[Bitiş]]="",($G$1-Tablo2[[#This Row],[Başlangıç]])*24,(Tablo2[[#This Row],[Bitiş]]-Tablo2[[#This Row],[Başlangıç]])*24)))</f>
        <v>61.5</v>
      </c>
    </row>
    <row r="405" spans="1:5" x14ac:dyDescent="0.3">
      <c r="A405">
        <v>260</v>
      </c>
      <c r="B405" t="s">
        <v>84</v>
      </c>
      <c r="C405" s="1">
        <v>44459.020833333336</v>
      </c>
      <c r="D405" s="1">
        <v>44461.118055555555</v>
      </c>
      <c r="E405" s="17">
        <f>IF(Tablo2[[#This Row],[Başlangıç]]="","",(IF(Tablo2[[#This Row],[Bitiş]]="",($G$1-Tablo2[[#This Row],[Başlangıç]])*24,(Tablo2[[#This Row],[Bitiş]]-Tablo2[[#This Row],[Başlangıç]])*24)))</f>
        <v>50.333333333255723</v>
      </c>
    </row>
    <row r="406" spans="1:5" x14ac:dyDescent="0.3">
      <c r="A406">
        <v>260</v>
      </c>
      <c r="B406" t="s">
        <v>179</v>
      </c>
      <c r="C406" s="1">
        <v>44450.604166666664</v>
      </c>
      <c r="D406" s="1">
        <v>44450.625</v>
      </c>
      <c r="E40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07" spans="1:5" x14ac:dyDescent="0.3">
      <c r="A407">
        <v>260</v>
      </c>
      <c r="B407" t="s">
        <v>68</v>
      </c>
      <c r="C407" s="1">
        <v>44460.013888888891</v>
      </c>
      <c r="D407" s="1">
        <v>44462.68472222222</v>
      </c>
      <c r="E407" s="17">
        <f>IF(Tablo2[[#This Row],[Başlangıç]]="","",(IF(Tablo2[[#This Row],[Bitiş]]="",($G$1-Tablo2[[#This Row],[Başlangıç]])*24,(Tablo2[[#This Row],[Bitiş]]-Tablo2[[#This Row],[Başlangıç]])*24)))</f>
        <v>64.099999999918509</v>
      </c>
    </row>
    <row r="408" spans="1:5" x14ac:dyDescent="0.3">
      <c r="A408">
        <v>260</v>
      </c>
      <c r="B408" t="s">
        <v>37</v>
      </c>
      <c r="C408" s="1">
        <v>44452.94027777778</v>
      </c>
      <c r="D408" s="1">
        <v>44457.354166666664</v>
      </c>
      <c r="E408" s="17">
        <f>IF(Tablo2[[#This Row],[Başlangıç]]="","",(IF(Tablo2[[#This Row],[Bitiş]]="",($G$1-Tablo2[[#This Row],[Başlangıç]])*24,(Tablo2[[#This Row],[Bitiş]]-Tablo2[[#This Row],[Başlangıç]])*24)))</f>
        <v>105.93333333323244</v>
      </c>
    </row>
    <row r="409" spans="1:5" x14ac:dyDescent="0.3">
      <c r="A409">
        <v>260</v>
      </c>
      <c r="B409" t="s">
        <v>65</v>
      </c>
      <c r="C409" s="1">
        <v>44458.177083333336</v>
      </c>
      <c r="D409" s="1">
        <v>44459</v>
      </c>
      <c r="E409" s="17">
        <f>IF(Tablo2[[#This Row],[Başlangıç]]="","",(IF(Tablo2[[#This Row],[Bitiş]]="",($G$1-Tablo2[[#This Row],[Başlangıç]])*24,(Tablo2[[#This Row],[Bitiş]]-Tablo2[[#This Row],[Başlangıç]])*24)))</f>
        <v>19.749999999941792</v>
      </c>
    </row>
    <row r="410" spans="1:5" x14ac:dyDescent="0.3">
      <c r="A410">
        <v>261</v>
      </c>
      <c r="B410" t="s">
        <v>36</v>
      </c>
      <c r="C410" s="1">
        <v>44451.125</v>
      </c>
      <c r="D410" s="1">
        <v>44453.683333333334</v>
      </c>
      <c r="E410" s="17">
        <f>IF(Tablo2[[#This Row],[Başlangıç]]="","",(IF(Tablo2[[#This Row],[Bitiş]]="",($G$1-Tablo2[[#This Row],[Başlangıç]])*24,(Tablo2[[#This Row],[Bitiş]]-Tablo2[[#This Row],[Başlangıç]])*24)))</f>
        <v>61.400000000023283</v>
      </c>
    </row>
    <row r="411" spans="1:5" x14ac:dyDescent="0.3">
      <c r="A411">
        <v>261</v>
      </c>
      <c r="B411" t="s">
        <v>84</v>
      </c>
      <c r="C411" s="1">
        <v>44456.652777777781</v>
      </c>
      <c r="D411" s="1">
        <v>44458.989583333336</v>
      </c>
      <c r="E411" s="17">
        <f>IF(Tablo2[[#This Row],[Başlangıç]]="","",(IF(Tablo2[[#This Row],[Bitiş]]="",($G$1-Tablo2[[#This Row],[Başlangıç]])*24,(Tablo2[[#This Row],[Bitiş]]-Tablo2[[#This Row],[Başlangıç]])*24)))</f>
        <v>56.083333333313931</v>
      </c>
    </row>
    <row r="412" spans="1:5" x14ac:dyDescent="0.3">
      <c r="A412">
        <v>261</v>
      </c>
      <c r="B412" t="s">
        <v>179</v>
      </c>
      <c r="C412" s="1">
        <v>44451.125</v>
      </c>
      <c r="D412" s="1">
        <v>44451.145833333336</v>
      </c>
      <c r="E41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13" spans="1:5" x14ac:dyDescent="0.3">
      <c r="A413">
        <v>261</v>
      </c>
      <c r="B413" t="s">
        <v>68</v>
      </c>
      <c r="C413" s="1">
        <v>44455.666666666664</v>
      </c>
      <c r="D413" s="1">
        <v>44461.194444444445</v>
      </c>
      <c r="E413" s="17">
        <f>IF(Tablo2[[#This Row],[Başlangıç]]="","",(IF(Tablo2[[#This Row],[Bitiş]]="",($G$1-Tablo2[[#This Row],[Başlangıç]])*24,(Tablo2[[#This Row],[Bitiş]]-Tablo2[[#This Row],[Başlangıç]])*24)))</f>
        <v>132.66666666674428</v>
      </c>
    </row>
    <row r="414" spans="1:5" x14ac:dyDescent="0.3">
      <c r="A414">
        <v>261</v>
      </c>
      <c r="B414" t="s">
        <v>37</v>
      </c>
      <c r="C414" s="1">
        <v>44453.892361111109</v>
      </c>
      <c r="D414" s="1">
        <v>44456.291666666664</v>
      </c>
      <c r="E414" s="17">
        <f>IF(Tablo2[[#This Row],[Başlangıç]]="","",(IF(Tablo2[[#This Row],[Bitiş]]="",($G$1-Tablo2[[#This Row],[Başlangıç]])*24,(Tablo2[[#This Row],[Bitiş]]-Tablo2[[#This Row],[Başlangıç]])*24)))</f>
        <v>57.583333333313931</v>
      </c>
    </row>
    <row r="415" spans="1:5" x14ac:dyDescent="0.3">
      <c r="A415">
        <v>261</v>
      </c>
      <c r="B415" t="s">
        <v>65</v>
      </c>
      <c r="C415" s="1">
        <v>44455.371527777781</v>
      </c>
      <c r="D415" s="1">
        <v>44456.541666666664</v>
      </c>
      <c r="E415" s="17">
        <f>IF(Tablo2[[#This Row],[Başlangıç]]="","",(IF(Tablo2[[#This Row],[Bitiş]]="",($G$1-Tablo2[[#This Row],[Başlangıç]])*24,(Tablo2[[#This Row],[Bitiş]]-Tablo2[[#This Row],[Başlangıç]])*24)))</f>
        <v>28.083333333197515</v>
      </c>
    </row>
    <row r="416" spans="1:5" x14ac:dyDescent="0.3">
      <c r="A416">
        <v>262</v>
      </c>
      <c r="B416" t="s">
        <v>36</v>
      </c>
      <c r="C416" s="1">
        <v>44451.645833333336</v>
      </c>
      <c r="D416" s="1">
        <v>44454.291666666664</v>
      </c>
      <c r="E416" s="17">
        <f>IF(Tablo2[[#This Row],[Başlangıç]]="","",(IF(Tablo2[[#This Row],[Bitiş]]="",($G$1-Tablo2[[#This Row],[Başlangıç]])*24,(Tablo2[[#This Row],[Bitiş]]-Tablo2[[#This Row],[Başlangıç]])*24)))</f>
        <v>63.499999999883585</v>
      </c>
    </row>
    <row r="417" spans="1:5" x14ac:dyDescent="0.3">
      <c r="A417">
        <v>262</v>
      </c>
      <c r="B417" t="s">
        <v>84</v>
      </c>
      <c r="C417" s="1">
        <v>44457.15625</v>
      </c>
      <c r="D417" s="1">
        <v>44457.854166666664</v>
      </c>
      <c r="E417" s="17">
        <f>IF(Tablo2[[#This Row],[Başlangıç]]="","",(IF(Tablo2[[#This Row],[Bitiş]]="",($G$1-Tablo2[[#This Row],[Başlangıç]])*24,(Tablo2[[#This Row],[Bitiş]]-Tablo2[[#This Row],[Başlangıç]])*24)))</f>
        <v>16.749999999941792</v>
      </c>
    </row>
    <row r="418" spans="1:5" x14ac:dyDescent="0.3">
      <c r="A418">
        <v>262</v>
      </c>
      <c r="B418" t="s">
        <v>179</v>
      </c>
      <c r="C418" s="1">
        <v>44451.645833333336</v>
      </c>
      <c r="D418" s="1">
        <v>44451.666666666664</v>
      </c>
      <c r="E41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19" spans="1:5" x14ac:dyDescent="0.3">
      <c r="A419">
        <v>262</v>
      </c>
      <c r="B419" t="s">
        <v>68</v>
      </c>
      <c r="C419" s="1">
        <v>44457.09375</v>
      </c>
      <c r="D419" s="1">
        <v>44458.177083333336</v>
      </c>
      <c r="E419" s="17">
        <f>IF(Tablo2[[#This Row],[Başlangıç]]="","",(IF(Tablo2[[#This Row],[Bitiş]]="",($G$1-Tablo2[[#This Row],[Başlangıç]])*24,(Tablo2[[#This Row],[Bitiş]]-Tablo2[[#This Row],[Başlangıç]])*24)))</f>
        <v>26.000000000058208</v>
      </c>
    </row>
    <row r="420" spans="1:5" x14ac:dyDescent="0.3">
      <c r="A420">
        <v>262</v>
      </c>
      <c r="B420" t="s">
        <v>37</v>
      </c>
      <c r="C420" s="1">
        <v>44454.177083333336</v>
      </c>
      <c r="D420" s="1">
        <v>44456.989583333336</v>
      </c>
      <c r="E420" s="17">
        <f>IF(Tablo2[[#This Row],[Başlangıç]]="","",(IF(Tablo2[[#This Row],[Bitiş]]="",($G$1-Tablo2[[#This Row],[Başlangıç]])*24,(Tablo2[[#This Row],[Bitiş]]-Tablo2[[#This Row],[Başlangıç]])*24)))</f>
        <v>67.5</v>
      </c>
    </row>
    <row r="421" spans="1:5" x14ac:dyDescent="0.3">
      <c r="A421">
        <v>262</v>
      </c>
      <c r="B421" t="s">
        <v>65</v>
      </c>
      <c r="C421" s="1">
        <v>44455.96875</v>
      </c>
      <c r="D421" s="1">
        <v>44456.996527777781</v>
      </c>
      <c r="E421" s="17">
        <f>IF(Tablo2[[#This Row],[Başlangıç]]="","",(IF(Tablo2[[#This Row],[Bitiş]]="",($G$1-Tablo2[[#This Row],[Başlangıç]])*24,(Tablo2[[#This Row],[Bitiş]]-Tablo2[[#This Row],[Başlangıç]])*24)))</f>
        <v>24.666666666744277</v>
      </c>
    </row>
    <row r="422" spans="1:5" x14ac:dyDescent="0.3">
      <c r="A422">
        <v>263</v>
      </c>
      <c r="B422" t="s">
        <v>36</v>
      </c>
      <c r="C422" s="1">
        <v>44453.375</v>
      </c>
      <c r="D422" s="1">
        <v>44454.732638888891</v>
      </c>
      <c r="E422" s="17">
        <f>IF(Tablo2[[#This Row],[Başlangıç]]="","",(IF(Tablo2[[#This Row],[Bitiş]]="",($G$1-Tablo2[[#This Row],[Başlangıç]])*24,(Tablo2[[#This Row],[Bitiş]]-Tablo2[[#This Row],[Başlangıç]])*24)))</f>
        <v>32.583333333372138</v>
      </c>
    </row>
    <row r="423" spans="1:5" x14ac:dyDescent="0.3">
      <c r="A423">
        <v>263</v>
      </c>
      <c r="B423" t="s">
        <v>84</v>
      </c>
      <c r="C423" s="1">
        <v>44460.46875</v>
      </c>
      <c r="D423" s="1">
        <v>44462.541666666664</v>
      </c>
      <c r="E423" s="17">
        <f>IF(Tablo2[[#This Row],[Başlangıç]]="","",(IF(Tablo2[[#This Row],[Bitiş]]="",($G$1-Tablo2[[#This Row],[Başlangıç]])*24,(Tablo2[[#This Row],[Bitiş]]-Tablo2[[#This Row],[Başlangıç]])*24)))</f>
        <v>49.749999999941792</v>
      </c>
    </row>
    <row r="424" spans="1:5" x14ac:dyDescent="0.3">
      <c r="A424">
        <v>263</v>
      </c>
      <c r="B424" t="s">
        <v>179</v>
      </c>
      <c r="C424" s="1">
        <v>44453.375</v>
      </c>
      <c r="D424" s="1">
        <v>44453.395833333336</v>
      </c>
      <c r="E4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25" spans="1:5" x14ac:dyDescent="0.3">
      <c r="A425">
        <v>263</v>
      </c>
      <c r="B425" t="s">
        <v>68</v>
      </c>
      <c r="C425" s="1">
        <v>44460.760416666664</v>
      </c>
      <c r="D425" s="1">
        <v>44462.984027777777</v>
      </c>
      <c r="E425" s="17">
        <f>IF(Tablo2[[#This Row],[Başlangıç]]="","",(IF(Tablo2[[#This Row],[Bitiş]]="",($G$1-Tablo2[[#This Row],[Başlangıç]])*24,(Tablo2[[#This Row],[Bitiş]]-Tablo2[[#This Row],[Başlangıç]])*24)))</f>
        <v>53.366666666697711</v>
      </c>
    </row>
    <row r="426" spans="1:5" x14ac:dyDescent="0.3">
      <c r="A426">
        <v>263</v>
      </c>
      <c r="B426" t="s">
        <v>37</v>
      </c>
      <c r="C426" s="1">
        <v>44454.375</v>
      </c>
      <c r="D426" s="1">
        <v>44459.885416666664</v>
      </c>
      <c r="E426" s="17">
        <f>IF(Tablo2[[#This Row],[Başlangıç]]="","",(IF(Tablo2[[#This Row],[Bitiş]]="",($G$1-Tablo2[[#This Row],[Başlangıç]])*24,(Tablo2[[#This Row],[Bitiş]]-Tablo2[[#This Row],[Başlangıç]])*24)))</f>
        <v>132.24999999994179</v>
      </c>
    </row>
    <row r="427" spans="1:5" x14ac:dyDescent="0.3">
      <c r="A427">
        <v>263</v>
      </c>
      <c r="B427" t="s">
        <v>65</v>
      </c>
      <c r="C427" s="1">
        <v>44459.03125</v>
      </c>
      <c r="D427" s="1">
        <v>44460.166666666664</v>
      </c>
      <c r="E427" s="17">
        <f>IF(Tablo2[[#This Row],[Başlangıç]]="","",(IF(Tablo2[[#This Row],[Bitiş]]="",($G$1-Tablo2[[#This Row],[Başlangıç]])*24,(Tablo2[[#This Row],[Bitiş]]-Tablo2[[#This Row],[Başlangıç]])*24)))</f>
        <v>27.249999999941792</v>
      </c>
    </row>
    <row r="428" spans="1:5" x14ac:dyDescent="0.3">
      <c r="A428">
        <v>264</v>
      </c>
      <c r="B428" t="s">
        <v>36</v>
      </c>
      <c r="C428" s="1">
        <v>44453.708333333336</v>
      </c>
      <c r="D428" s="1">
        <v>44455.298611111109</v>
      </c>
      <c r="E428" s="17">
        <f>IF(Tablo2[[#This Row],[Başlangıç]]="","",(IF(Tablo2[[#This Row],[Bitiş]]="",($G$1-Tablo2[[#This Row],[Başlangıç]])*24,(Tablo2[[#This Row],[Bitiş]]-Tablo2[[#This Row],[Başlangıç]])*24)))</f>
        <v>38.166666666569654</v>
      </c>
    </row>
    <row r="429" spans="1:5" x14ac:dyDescent="0.3">
      <c r="A429">
        <v>264</v>
      </c>
      <c r="B429" t="s">
        <v>84</v>
      </c>
      <c r="C429" s="1">
        <v>44460.951388888891</v>
      </c>
      <c r="D429" s="1">
        <v>44464.541666666664</v>
      </c>
      <c r="E429" s="17">
        <f>IF(Tablo2[[#This Row],[Başlangıç]]="","",(IF(Tablo2[[#This Row],[Bitiş]]="",($G$1-Tablo2[[#This Row],[Başlangıç]])*24,(Tablo2[[#This Row],[Bitiş]]-Tablo2[[#This Row],[Başlangıç]])*24)))</f>
        <v>86.166666666569654</v>
      </c>
    </row>
    <row r="430" spans="1:5" x14ac:dyDescent="0.3">
      <c r="A430">
        <v>264</v>
      </c>
      <c r="B430" t="s">
        <v>179</v>
      </c>
      <c r="C430" s="1">
        <v>44453.708333333336</v>
      </c>
      <c r="D430" s="1">
        <v>44453.729166666664</v>
      </c>
      <c r="E43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31" spans="1:5" x14ac:dyDescent="0.3">
      <c r="A431">
        <v>264</v>
      </c>
      <c r="B431" t="s">
        <v>68</v>
      </c>
      <c r="C431" s="1">
        <v>44461.020833333336</v>
      </c>
      <c r="D431" s="1">
        <v>44464.690972222219</v>
      </c>
      <c r="E431" s="17">
        <f>IF(Tablo2[[#This Row],[Başlangıç]]="","",(IF(Tablo2[[#This Row],[Bitiş]]="",($G$1-Tablo2[[#This Row],[Başlangıç]])*24,(Tablo2[[#This Row],[Bitiş]]-Tablo2[[#This Row],[Başlangıç]])*24)))</f>
        <v>88.083333333197515</v>
      </c>
    </row>
    <row r="432" spans="1:5" x14ac:dyDescent="0.3">
      <c r="A432">
        <v>264</v>
      </c>
      <c r="B432" t="s">
        <v>37</v>
      </c>
      <c r="C432" s="1">
        <v>44455.091666666667</v>
      </c>
      <c r="D432" s="1">
        <v>44459.5</v>
      </c>
      <c r="E432" s="17">
        <f>IF(Tablo2[[#This Row],[Başlangıç]]="","",(IF(Tablo2[[#This Row],[Bitiş]]="",($G$1-Tablo2[[#This Row],[Başlangıç]])*24,(Tablo2[[#This Row],[Bitiş]]-Tablo2[[#This Row],[Başlangıç]])*24)))</f>
        <v>105.79999999998836</v>
      </c>
    </row>
    <row r="433" spans="1:5" x14ac:dyDescent="0.3">
      <c r="A433">
        <v>264</v>
      </c>
      <c r="B433" t="s">
        <v>65</v>
      </c>
      <c r="C433" s="1">
        <v>44459.416666666664</v>
      </c>
      <c r="D433" s="1">
        <v>44460.9375</v>
      </c>
      <c r="E433" s="17">
        <f>IF(Tablo2[[#This Row],[Başlangıç]]="","",(IF(Tablo2[[#This Row],[Bitiş]]="",($G$1-Tablo2[[#This Row],[Başlangıç]])*24,(Tablo2[[#This Row],[Bitiş]]-Tablo2[[#This Row],[Başlangıç]])*24)))</f>
        <v>36.500000000058208</v>
      </c>
    </row>
    <row r="434" spans="1:5" x14ac:dyDescent="0.3">
      <c r="A434">
        <v>265</v>
      </c>
      <c r="B434" t="s">
        <v>36</v>
      </c>
      <c r="C434" s="1">
        <v>44454.041666666664</v>
      </c>
      <c r="D434" s="1">
        <v>44456.8125</v>
      </c>
      <c r="E434" s="17">
        <f>IF(Tablo2[[#This Row],[Başlangıç]]="","",(IF(Tablo2[[#This Row],[Bitiş]]="",($G$1-Tablo2[[#This Row],[Başlangıç]])*24,(Tablo2[[#This Row],[Bitiş]]-Tablo2[[#This Row],[Başlangıç]])*24)))</f>
        <v>66.500000000058208</v>
      </c>
    </row>
    <row r="435" spans="1:5" x14ac:dyDescent="0.3">
      <c r="A435">
        <v>265</v>
      </c>
      <c r="B435" t="s">
        <v>84</v>
      </c>
      <c r="C435" s="1">
        <v>44462.541666666664</v>
      </c>
      <c r="D435" s="1">
        <v>44468.041666666664</v>
      </c>
      <c r="E435" s="17">
        <f>IF(Tablo2[[#This Row],[Başlangıç]]="","",(IF(Tablo2[[#This Row],[Bitiş]]="",($G$1-Tablo2[[#This Row],[Başlangıç]])*24,(Tablo2[[#This Row],[Bitiş]]-Tablo2[[#This Row],[Başlangıç]])*24)))</f>
        <v>132</v>
      </c>
    </row>
    <row r="436" spans="1:5" x14ac:dyDescent="0.3">
      <c r="A436">
        <v>265</v>
      </c>
      <c r="B436" t="s">
        <v>179</v>
      </c>
      <c r="C436" s="1">
        <v>44454.041666666664</v>
      </c>
      <c r="D436" s="1">
        <v>44454.0625</v>
      </c>
      <c r="E4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37" spans="1:5" x14ac:dyDescent="0.3">
      <c r="A437">
        <v>265</v>
      </c>
      <c r="B437" t="s">
        <v>68</v>
      </c>
      <c r="C437" s="1">
        <v>-612969.24652777775</v>
      </c>
      <c r="D437" s="1">
        <v>44468.285416666666</v>
      </c>
      <c r="E437" s="17">
        <f>IF(Tablo2[[#This Row],[Başlangıç]]="","",(IF(Tablo2[[#This Row],[Bitiş]]="",($G$1-Tablo2[[#This Row],[Başlangıç]])*24,(Tablo2[[#This Row],[Bitiş]]-Tablo2[[#This Row],[Başlangıç]])*24)))</f>
        <v>15778500.766666666</v>
      </c>
    </row>
    <row r="438" spans="1:5" x14ac:dyDescent="0.3">
      <c r="A438">
        <v>265</v>
      </c>
      <c r="B438" t="s">
        <v>37</v>
      </c>
      <c r="C438" s="1">
        <v>44455.941666666666</v>
      </c>
      <c r="D438" s="1">
        <v>44466.416666666664</v>
      </c>
      <c r="E438" s="17">
        <f>IF(Tablo2[[#This Row],[Başlangıç]]="","",(IF(Tablo2[[#This Row],[Bitiş]]="",($G$1-Tablo2[[#This Row],[Başlangıç]])*24,(Tablo2[[#This Row],[Bitiş]]-Tablo2[[#This Row],[Başlangıç]])*24)))</f>
        <v>251.39999999996508</v>
      </c>
    </row>
    <row r="439" spans="1:5" x14ac:dyDescent="0.3">
      <c r="A439">
        <v>265</v>
      </c>
      <c r="B439" t="s">
        <v>65</v>
      </c>
      <c r="C439" s="1">
        <v>44465.677083333336</v>
      </c>
      <c r="D439" s="1">
        <v>44466.791666666664</v>
      </c>
      <c r="E439" s="17">
        <f>IF(Tablo2[[#This Row],[Başlangıç]]="","",(IF(Tablo2[[#This Row],[Bitiş]]="",($G$1-Tablo2[[#This Row],[Başlangıç]])*24,(Tablo2[[#This Row],[Bitiş]]-Tablo2[[#This Row],[Başlangıç]])*24)))</f>
        <v>26.749999999883585</v>
      </c>
    </row>
    <row r="440" spans="1:5" x14ac:dyDescent="0.3">
      <c r="A440">
        <v>266</v>
      </c>
      <c r="B440" t="s">
        <v>36</v>
      </c>
      <c r="C440" s="1">
        <v>44455.25</v>
      </c>
      <c r="D440" s="1">
        <v>44457.333333333336</v>
      </c>
      <c r="E440" s="17">
        <f>IF(Tablo2[[#This Row],[Başlangıç]]="","",(IF(Tablo2[[#This Row],[Bitiş]]="",($G$1-Tablo2[[#This Row],[Başlangıç]])*24,(Tablo2[[#This Row],[Bitiş]]-Tablo2[[#This Row],[Başlangıç]])*24)))</f>
        <v>50.000000000058208</v>
      </c>
    </row>
    <row r="441" spans="1:5" x14ac:dyDescent="0.3">
      <c r="A441">
        <v>266</v>
      </c>
      <c r="B441" t="s">
        <v>84</v>
      </c>
      <c r="C441" s="1">
        <v>44462.131944444445</v>
      </c>
      <c r="D441" s="1">
        <v>44463.541666666664</v>
      </c>
      <c r="E441" s="17">
        <f>IF(Tablo2[[#This Row],[Başlangıç]]="","",(IF(Tablo2[[#This Row],[Bitiş]]="",($G$1-Tablo2[[#This Row],[Başlangıç]])*24,(Tablo2[[#This Row],[Bitiş]]-Tablo2[[#This Row],[Başlangıç]])*24)))</f>
        <v>33.833333333255723</v>
      </c>
    </row>
    <row r="442" spans="1:5" x14ac:dyDescent="0.3">
      <c r="A442">
        <v>266</v>
      </c>
      <c r="B442" t="s">
        <v>179</v>
      </c>
      <c r="C442" s="1">
        <v>44455.25</v>
      </c>
      <c r="D442" s="1">
        <v>44455.270833333336</v>
      </c>
      <c r="E44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43" spans="1:5" x14ac:dyDescent="0.3">
      <c r="A443">
        <v>266</v>
      </c>
      <c r="B443" t="s">
        <v>68</v>
      </c>
      <c r="C443" s="1">
        <v>44462.125</v>
      </c>
      <c r="D443" s="1">
        <v>44463.479166666664</v>
      </c>
      <c r="E443" s="17">
        <f>IF(Tablo2[[#This Row],[Başlangıç]]="","",(IF(Tablo2[[#This Row],[Bitiş]]="",($G$1-Tablo2[[#This Row],[Başlangıç]])*24,(Tablo2[[#This Row],[Bitiş]]-Tablo2[[#This Row],[Başlangıç]])*24)))</f>
        <v>32.499999999941792</v>
      </c>
    </row>
    <row r="444" spans="1:5" x14ac:dyDescent="0.3">
      <c r="A444">
        <v>266</v>
      </c>
      <c r="B444" t="s">
        <v>37</v>
      </c>
      <c r="C444" s="1">
        <v>44456.789583333331</v>
      </c>
      <c r="D444" s="1">
        <v>44459.916666666664</v>
      </c>
      <c r="E444" s="17">
        <f>IF(Tablo2[[#This Row],[Başlangıç]]="","",(IF(Tablo2[[#This Row],[Bitiş]]="",($G$1-Tablo2[[#This Row],[Başlangıç]])*24,(Tablo2[[#This Row],[Bitiş]]-Tablo2[[#This Row],[Başlangıç]])*24)))</f>
        <v>75.049999999988358</v>
      </c>
    </row>
    <row r="445" spans="1:5" x14ac:dyDescent="0.3">
      <c r="A445">
        <v>266</v>
      </c>
      <c r="B445" t="s">
        <v>65</v>
      </c>
      <c r="C445" s="1">
        <v>44460.010416666664</v>
      </c>
      <c r="D445" s="1">
        <v>44462.125</v>
      </c>
      <c r="E445" s="17">
        <f>IF(Tablo2[[#This Row],[Başlangıç]]="","",(IF(Tablo2[[#This Row],[Bitiş]]="",($G$1-Tablo2[[#This Row],[Başlangıç]])*24,(Tablo2[[#This Row],[Bitiş]]-Tablo2[[#This Row],[Başlangıç]])*24)))</f>
        <v>50.750000000058208</v>
      </c>
    </row>
    <row r="446" spans="1:5" x14ac:dyDescent="0.3">
      <c r="A446">
        <v>267</v>
      </c>
      <c r="B446" t="s">
        <v>36</v>
      </c>
      <c r="C446" s="1">
        <v>44456.083333333336</v>
      </c>
      <c r="D446" s="1">
        <v>44460.875</v>
      </c>
      <c r="E446" s="17">
        <f>IF(Tablo2[[#This Row],[Başlangıç]]="","",(IF(Tablo2[[#This Row],[Bitiş]]="",($G$1-Tablo2[[#This Row],[Başlangıç]])*24,(Tablo2[[#This Row],[Bitiş]]-Tablo2[[#This Row],[Başlangıç]])*24)))</f>
        <v>114.99999999994179</v>
      </c>
    </row>
    <row r="447" spans="1:5" x14ac:dyDescent="0.3">
      <c r="A447">
        <v>267</v>
      </c>
      <c r="B447" t="s">
        <v>84</v>
      </c>
      <c r="C447" s="1">
        <v>44460.368055555555</v>
      </c>
      <c r="D447" s="1">
        <v>44463.121527777781</v>
      </c>
      <c r="E447" s="17">
        <f>IF(Tablo2[[#This Row],[Başlangıç]]="","",(IF(Tablo2[[#This Row],[Bitiş]]="",($G$1-Tablo2[[#This Row],[Başlangıç]])*24,(Tablo2[[#This Row],[Bitiş]]-Tablo2[[#This Row],[Başlangıç]])*24)))</f>
        <v>66.083333333430346</v>
      </c>
    </row>
    <row r="448" spans="1:5" x14ac:dyDescent="0.3">
      <c r="A448">
        <v>267</v>
      </c>
      <c r="B448" t="s">
        <v>179</v>
      </c>
      <c r="C448" s="1">
        <v>44456.083333333336</v>
      </c>
      <c r="D448" s="1">
        <v>44456.083333333336</v>
      </c>
      <c r="E448" s="17">
        <f>IF(Tablo2[[#This Row],[Başlangıç]]="","",(IF(Tablo2[[#This Row],[Bitiş]]="",($G$1-Tablo2[[#This Row],[Başlangıç]])*24,(Tablo2[[#This Row],[Bitiş]]-Tablo2[[#This Row],[Başlangıç]])*24)))</f>
        <v>0</v>
      </c>
    </row>
    <row r="449" spans="1:5" x14ac:dyDescent="0.3">
      <c r="A449">
        <v>267</v>
      </c>
      <c r="B449" t="s">
        <v>68</v>
      </c>
      <c r="C449" s="1">
        <v>44463.125</v>
      </c>
      <c r="D449" s="1">
        <v>44463.878472222219</v>
      </c>
      <c r="E449" s="17">
        <f>IF(Tablo2[[#This Row],[Başlangıç]]="","",(IF(Tablo2[[#This Row],[Bitiş]]="",($G$1-Tablo2[[#This Row],[Başlangıç]])*24,(Tablo2[[#This Row],[Bitiş]]-Tablo2[[#This Row],[Başlangıç]])*24)))</f>
        <v>18.083333333255723</v>
      </c>
    </row>
    <row r="450" spans="1:5" x14ac:dyDescent="0.3">
      <c r="A450">
        <v>267</v>
      </c>
      <c r="B450" t="s">
        <v>37</v>
      </c>
      <c r="C450" s="1">
        <v>44458.416666666664</v>
      </c>
      <c r="D450" s="1">
        <v>44461.989583333336</v>
      </c>
      <c r="E450" s="17">
        <f>IF(Tablo2[[#This Row],[Başlangıç]]="","",(IF(Tablo2[[#This Row],[Bitiş]]="",($G$1-Tablo2[[#This Row],[Başlangıç]])*24,(Tablo2[[#This Row],[Bitiş]]-Tablo2[[#This Row],[Başlangıç]])*24)))</f>
        <v>85.750000000116415</v>
      </c>
    </row>
    <row r="451" spans="1:5" x14ac:dyDescent="0.3">
      <c r="A451">
        <v>267</v>
      </c>
      <c r="B451" t="s">
        <v>65</v>
      </c>
      <c r="C451" s="1">
        <v>44461.75</v>
      </c>
      <c r="D451" s="1">
        <v>44462.645833333336</v>
      </c>
      <c r="E451" s="17">
        <f>IF(Tablo2[[#This Row],[Başlangıç]]="","",(IF(Tablo2[[#This Row],[Bitiş]]="",($G$1-Tablo2[[#This Row],[Başlangıç]])*24,(Tablo2[[#This Row],[Bitiş]]-Tablo2[[#This Row],[Başlangıç]])*24)))</f>
        <v>21.500000000058208</v>
      </c>
    </row>
    <row r="452" spans="1:5" x14ac:dyDescent="0.3">
      <c r="A452">
        <v>268</v>
      </c>
      <c r="B452" t="s">
        <v>36</v>
      </c>
      <c r="C452" s="1">
        <v>44456.083333333336</v>
      </c>
      <c r="D452" s="1">
        <v>44457.576388888891</v>
      </c>
      <c r="E452" s="17">
        <f>IF(Tablo2[[#This Row],[Başlangıç]]="","",(IF(Tablo2[[#This Row],[Bitiş]]="",($G$1-Tablo2[[#This Row],[Başlangıç]])*24,(Tablo2[[#This Row],[Bitiş]]-Tablo2[[#This Row],[Başlangıç]])*24)))</f>
        <v>35.833333333313931</v>
      </c>
    </row>
    <row r="453" spans="1:5" x14ac:dyDescent="0.3">
      <c r="A453">
        <v>268</v>
      </c>
      <c r="B453" t="s">
        <v>84</v>
      </c>
      <c r="C453" s="1">
        <v>44462.541666666664</v>
      </c>
      <c r="D453" s="1">
        <v>44472.648611111108</v>
      </c>
      <c r="E453" s="17">
        <f>IF(Tablo2[[#This Row],[Başlangıç]]="","",(IF(Tablo2[[#This Row],[Bitiş]]="",($G$1-Tablo2[[#This Row],[Başlangıç]])*24,(Tablo2[[#This Row],[Bitiş]]-Tablo2[[#This Row],[Başlangıç]])*24)))</f>
        <v>242.56666666665114</v>
      </c>
    </row>
    <row r="454" spans="1:5" x14ac:dyDescent="0.3">
      <c r="A454">
        <v>268</v>
      </c>
      <c r="B454" t="s">
        <v>179</v>
      </c>
      <c r="C454" s="1">
        <v>44456.083333333336</v>
      </c>
      <c r="D454" s="1">
        <v>44456.104166666664</v>
      </c>
      <c r="E45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55" spans="1:5" x14ac:dyDescent="0.3">
      <c r="A455">
        <v>268</v>
      </c>
      <c r="B455" t="s">
        <v>68</v>
      </c>
      <c r="C455" s="1">
        <v>44471.381944444445</v>
      </c>
      <c r="D455" s="1">
        <v>44472.885416666664</v>
      </c>
      <c r="E455" s="17">
        <f>IF(Tablo2[[#This Row],[Başlangıç]]="","",(IF(Tablo2[[#This Row],[Bitiş]]="",($G$1-Tablo2[[#This Row],[Başlangıç]])*24,(Tablo2[[#This Row],[Bitiş]]-Tablo2[[#This Row],[Başlangıç]])*24)))</f>
        <v>36.083333333255723</v>
      </c>
    </row>
    <row r="456" spans="1:5" x14ac:dyDescent="0.3">
      <c r="A456">
        <v>268</v>
      </c>
      <c r="B456" t="s">
        <v>37</v>
      </c>
      <c r="C456" s="1">
        <v>44457.375694444447</v>
      </c>
      <c r="D456" s="1">
        <v>44469.322916666664</v>
      </c>
      <c r="E456" s="17">
        <f>IF(Tablo2[[#This Row],[Başlangıç]]="","",(IF(Tablo2[[#This Row],[Bitiş]]="",($G$1-Tablo2[[#This Row],[Başlangıç]])*24,(Tablo2[[#This Row],[Bitiş]]-Tablo2[[#This Row],[Başlangıç]])*24)))</f>
        <v>286.7333333332208</v>
      </c>
    </row>
    <row r="457" spans="1:5" x14ac:dyDescent="0.3">
      <c r="A457">
        <v>268</v>
      </c>
      <c r="B457" t="s">
        <v>65</v>
      </c>
      <c r="C457" s="1">
        <v>44470.006944444445</v>
      </c>
      <c r="D457" s="1">
        <v>44470.958333333336</v>
      </c>
      <c r="E457" s="17">
        <f>IF(Tablo2[[#This Row],[Başlangıç]]="","",(IF(Tablo2[[#This Row],[Bitiş]]="",($G$1-Tablo2[[#This Row],[Başlangıç]])*24,(Tablo2[[#This Row],[Bitiş]]-Tablo2[[#This Row],[Başlangıç]])*24)))</f>
        <v>22.833333333372138</v>
      </c>
    </row>
    <row r="458" spans="1:5" x14ac:dyDescent="0.3">
      <c r="A458">
        <v>269</v>
      </c>
      <c r="B458" t="s">
        <v>36</v>
      </c>
      <c r="C458" s="1">
        <v>44456.583333333336</v>
      </c>
      <c r="D458" s="1">
        <v>44459.333333333336</v>
      </c>
      <c r="E458" s="17">
        <f>IF(Tablo2[[#This Row],[Başlangıç]]="","",(IF(Tablo2[[#This Row],[Bitiş]]="",($G$1-Tablo2[[#This Row],[Başlangıç]])*24,(Tablo2[[#This Row],[Bitiş]]-Tablo2[[#This Row],[Başlangıç]])*24)))</f>
        <v>66</v>
      </c>
    </row>
    <row r="459" spans="1:5" x14ac:dyDescent="0.3">
      <c r="A459">
        <v>269</v>
      </c>
      <c r="B459" t="s">
        <v>84</v>
      </c>
      <c r="C459" s="1">
        <v>44462.541666666664</v>
      </c>
      <c r="D459" s="1">
        <v>44468.583333333336</v>
      </c>
      <c r="E459" s="17">
        <f>IF(Tablo2[[#This Row],[Başlangıç]]="","",(IF(Tablo2[[#This Row],[Bitiş]]="",($G$1-Tablo2[[#This Row],[Başlangıç]])*24,(Tablo2[[#This Row],[Bitiş]]-Tablo2[[#This Row],[Başlangıç]])*24)))</f>
        <v>145.00000000011642</v>
      </c>
    </row>
    <row r="460" spans="1:5" x14ac:dyDescent="0.3">
      <c r="A460">
        <v>269</v>
      </c>
      <c r="B460" t="s">
        <v>179</v>
      </c>
      <c r="C460" s="1">
        <v>44456.583333333336</v>
      </c>
      <c r="D460" s="1">
        <v>44456.604166666664</v>
      </c>
      <c r="E46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61" spans="1:5" x14ac:dyDescent="0.3">
      <c r="A461">
        <v>269</v>
      </c>
      <c r="B461" t="s">
        <v>68</v>
      </c>
      <c r="C461" s="1">
        <v>44468.0625</v>
      </c>
      <c r="D461" s="1">
        <v>44468.697916666664</v>
      </c>
      <c r="E461" s="17">
        <f>IF(Tablo2[[#This Row],[Başlangıç]]="","",(IF(Tablo2[[#This Row],[Bitiş]]="",($G$1-Tablo2[[#This Row],[Başlangıç]])*24,(Tablo2[[#This Row],[Bitiş]]-Tablo2[[#This Row],[Başlangıç]])*24)))</f>
        <v>15.249999999941792</v>
      </c>
    </row>
    <row r="462" spans="1:5" x14ac:dyDescent="0.3">
      <c r="A462">
        <v>269</v>
      </c>
      <c r="B462" t="s">
        <v>37</v>
      </c>
      <c r="C462" s="1">
        <v>44458.878472222219</v>
      </c>
      <c r="D462" s="1">
        <v>44466.481249999997</v>
      </c>
      <c r="E462" s="17">
        <f>IF(Tablo2[[#This Row],[Başlangıç]]="","",(IF(Tablo2[[#This Row],[Bitiş]]="",($G$1-Tablo2[[#This Row],[Başlangıç]])*24,(Tablo2[[#This Row],[Bitiş]]-Tablo2[[#This Row],[Başlangıç]])*24)))</f>
        <v>182.46666666667443</v>
      </c>
    </row>
    <row r="463" spans="1:5" x14ac:dyDescent="0.3">
      <c r="A463">
        <v>269</v>
      </c>
      <c r="B463" t="s">
        <v>65</v>
      </c>
      <c r="C463" s="1">
        <v>44467.013888888891</v>
      </c>
      <c r="D463" s="1">
        <v>44467.645833333336</v>
      </c>
      <c r="E463" s="17">
        <f>IF(Tablo2[[#This Row],[Başlangıç]]="","",(IF(Tablo2[[#This Row],[Bitiş]]="",($G$1-Tablo2[[#This Row],[Başlangıç]])*24,(Tablo2[[#This Row],[Bitiş]]-Tablo2[[#This Row],[Başlangıç]])*24)))</f>
        <v>15.166666666686069</v>
      </c>
    </row>
    <row r="464" spans="1:5" x14ac:dyDescent="0.3">
      <c r="A464">
        <v>270</v>
      </c>
      <c r="B464" t="s">
        <v>36</v>
      </c>
      <c r="C464" s="1">
        <v>44456.989583333336</v>
      </c>
      <c r="D464" s="1">
        <v>44459.586805555555</v>
      </c>
      <c r="E464" s="17">
        <f>IF(Tablo2[[#This Row],[Başlangıç]]="","",(IF(Tablo2[[#This Row],[Bitiş]]="",($G$1-Tablo2[[#This Row],[Başlangıç]])*24,(Tablo2[[#This Row],[Bitiş]]-Tablo2[[#This Row],[Başlangıç]])*24)))</f>
        <v>62.333333333255723</v>
      </c>
    </row>
    <row r="465" spans="1:5" x14ac:dyDescent="0.3">
      <c r="A465">
        <v>270</v>
      </c>
      <c r="B465" t="s">
        <v>84</v>
      </c>
      <c r="C465" s="1">
        <v>44462.541666666664</v>
      </c>
      <c r="D465" s="1">
        <v>44465.90625</v>
      </c>
      <c r="E465" s="17">
        <f>IF(Tablo2[[#This Row],[Başlangıç]]="","",(IF(Tablo2[[#This Row],[Bitiş]]="",($G$1-Tablo2[[#This Row],[Başlangıç]])*24,(Tablo2[[#This Row],[Bitiş]]-Tablo2[[#This Row],[Başlangıç]])*24)))</f>
        <v>80.750000000058208</v>
      </c>
    </row>
    <row r="466" spans="1:5" x14ac:dyDescent="0.3">
      <c r="A466">
        <v>270</v>
      </c>
      <c r="B466" t="s">
        <v>179</v>
      </c>
      <c r="C466" s="1">
        <v>44456.989583333336</v>
      </c>
      <c r="D466" s="1">
        <v>44457.010416666664</v>
      </c>
      <c r="E46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467" spans="1:5" x14ac:dyDescent="0.3">
      <c r="A467">
        <v>270</v>
      </c>
      <c r="B467" t="s">
        <v>68</v>
      </c>
      <c r="C467" s="1">
        <v>44464.677083333336</v>
      </c>
      <c r="D467" s="1">
        <v>44465.902777777781</v>
      </c>
      <c r="E467" s="17">
        <f>IF(Tablo2[[#This Row],[Başlangıç]]="","",(IF(Tablo2[[#This Row],[Bitiş]]="",($G$1-Tablo2[[#This Row],[Başlangıç]])*24,(Tablo2[[#This Row],[Bitiş]]-Tablo2[[#This Row],[Başlangıç]])*24)))</f>
        <v>29.416666666686069</v>
      </c>
    </row>
    <row r="468" spans="1:5" x14ac:dyDescent="0.3">
      <c r="A468">
        <v>270</v>
      </c>
      <c r="B468" t="s">
        <v>37</v>
      </c>
      <c r="C468" s="1">
        <v>44459.395138888889</v>
      </c>
      <c r="D468" s="1">
        <v>44462.144444444442</v>
      </c>
      <c r="E468" s="17">
        <f>IF(Tablo2[[#This Row],[Başlangıç]]="","",(IF(Tablo2[[#This Row],[Bitiş]]="",($G$1-Tablo2[[#This Row],[Başlangıç]])*24,(Tablo2[[#This Row],[Bitiş]]-Tablo2[[#This Row],[Başlangıç]])*24)))</f>
        <v>65.983333333279006</v>
      </c>
    </row>
    <row r="469" spans="1:5" x14ac:dyDescent="0.3">
      <c r="A469">
        <v>270</v>
      </c>
      <c r="B469" t="s">
        <v>65</v>
      </c>
      <c r="C469" s="1">
        <v>44462.720833333333</v>
      </c>
      <c r="D469" s="1">
        <v>44463.166666666664</v>
      </c>
      <c r="E469" s="17">
        <f>IF(Tablo2[[#This Row],[Başlangıç]]="","",(IF(Tablo2[[#This Row],[Bitiş]]="",($G$1-Tablo2[[#This Row],[Başlangıç]])*24,(Tablo2[[#This Row],[Bitiş]]-Tablo2[[#This Row],[Başlangıç]])*24)))</f>
        <v>10.699999999953434</v>
      </c>
    </row>
    <row r="470" spans="1:5" x14ac:dyDescent="0.3">
      <c r="A470">
        <v>271</v>
      </c>
      <c r="B470" t="s">
        <v>36</v>
      </c>
      <c r="C470" s="1">
        <v>44457.416666666664</v>
      </c>
      <c r="D470" s="1">
        <v>44460.979166666664</v>
      </c>
      <c r="E470" s="17">
        <f>IF(Tablo2[[#This Row],[Başlangıç]]="","",(IF(Tablo2[[#This Row],[Bitiş]]="",($G$1-Tablo2[[#This Row],[Başlangıç]])*24,(Tablo2[[#This Row],[Bitiş]]-Tablo2[[#This Row],[Başlangıç]])*24)))</f>
        <v>85.5</v>
      </c>
    </row>
    <row r="471" spans="1:5" x14ac:dyDescent="0.3">
      <c r="A471">
        <v>271</v>
      </c>
      <c r="B471" t="s">
        <v>84</v>
      </c>
      <c r="C471" s="1">
        <v>44462.541666666664</v>
      </c>
      <c r="D471" s="1">
        <v>44466</v>
      </c>
      <c r="E471" s="17">
        <f>IF(Tablo2[[#This Row],[Başlangıç]]="","",(IF(Tablo2[[#This Row],[Bitiş]]="",($G$1-Tablo2[[#This Row],[Başlangıç]])*24,(Tablo2[[#This Row],[Bitiş]]-Tablo2[[#This Row],[Başlangıç]])*24)))</f>
        <v>83.000000000058208</v>
      </c>
    </row>
    <row r="472" spans="1:5" x14ac:dyDescent="0.3">
      <c r="A472">
        <v>271</v>
      </c>
      <c r="B472" t="s">
        <v>179</v>
      </c>
      <c r="C472" s="1">
        <v>44457.416666666664</v>
      </c>
      <c r="D472" s="1">
        <v>44457.4375</v>
      </c>
      <c r="E4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73" spans="1:5" x14ac:dyDescent="0.3">
      <c r="A473">
        <v>271</v>
      </c>
      <c r="B473" t="s">
        <v>68</v>
      </c>
      <c r="C473" s="1">
        <v>44464.861111111109</v>
      </c>
      <c r="D473" s="1">
        <v>44466.194444444445</v>
      </c>
      <c r="E473" s="17">
        <f>IF(Tablo2[[#This Row],[Başlangıç]]="","",(IF(Tablo2[[#This Row],[Bitiş]]="",($G$1-Tablo2[[#This Row],[Başlangıç]])*24,(Tablo2[[#This Row],[Bitiş]]-Tablo2[[#This Row],[Başlangıç]])*24)))</f>
        <v>32.000000000058208</v>
      </c>
    </row>
    <row r="474" spans="1:5" x14ac:dyDescent="0.3">
      <c r="A474">
        <v>271</v>
      </c>
      <c r="B474" t="s">
        <v>37</v>
      </c>
      <c r="C474" s="1">
        <v>44460.888888888891</v>
      </c>
      <c r="D474" s="1">
        <v>44463.993055555555</v>
      </c>
      <c r="E474" s="17">
        <f>IF(Tablo2[[#This Row],[Başlangıç]]="","",(IF(Tablo2[[#This Row],[Bitiş]]="",($G$1-Tablo2[[#This Row],[Başlangıç]])*24,(Tablo2[[#This Row],[Bitiş]]-Tablo2[[#This Row],[Başlangıç]])*24)))</f>
        <v>74.499999999941792</v>
      </c>
    </row>
    <row r="475" spans="1:5" x14ac:dyDescent="0.3">
      <c r="A475">
        <v>271</v>
      </c>
      <c r="B475" t="s">
        <v>65</v>
      </c>
      <c r="C475" s="1">
        <v>44463.5</v>
      </c>
      <c r="D475" s="1">
        <v>44464.246527777781</v>
      </c>
      <c r="E475" s="17">
        <f>IF(Tablo2[[#This Row],[Başlangıç]]="","",(IF(Tablo2[[#This Row],[Bitiş]]="",($G$1-Tablo2[[#This Row],[Başlangıç]])*24,(Tablo2[[#This Row],[Bitiş]]-Tablo2[[#This Row],[Başlangıç]])*24)))</f>
        <v>17.916666666744277</v>
      </c>
    </row>
    <row r="476" spans="1:5" x14ac:dyDescent="0.3">
      <c r="A476">
        <v>272</v>
      </c>
      <c r="B476" t="s">
        <v>36</v>
      </c>
      <c r="C476" s="1">
        <v>44457.916666666664</v>
      </c>
      <c r="D476" s="1">
        <v>44461.666666666664</v>
      </c>
      <c r="E476" s="17">
        <f>IF(Tablo2[[#This Row],[Başlangıç]]="","",(IF(Tablo2[[#This Row],[Bitiş]]="",($G$1-Tablo2[[#This Row],[Başlangıç]])*24,(Tablo2[[#This Row],[Bitiş]]-Tablo2[[#This Row],[Başlangıç]])*24)))</f>
        <v>90</v>
      </c>
    </row>
    <row r="477" spans="1:5" x14ac:dyDescent="0.3">
      <c r="A477">
        <v>272</v>
      </c>
      <c r="B477" t="s">
        <v>84</v>
      </c>
      <c r="C477" s="1">
        <v>44462.541666666664</v>
      </c>
      <c r="D477" s="1">
        <v>44470.708333333336</v>
      </c>
      <c r="E477" s="17">
        <f>IF(Tablo2[[#This Row],[Başlangıç]]="","",(IF(Tablo2[[#This Row],[Bitiş]]="",($G$1-Tablo2[[#This Row],[Başlangıç]])*24,(Tablo2[[#This Row],[Bitiş]]-Tablo2[[#This Row],[Başlangıç]])*24)))</f>
        <v>196.00000000011642</v>
      </c>
    </row>
    <row r="478" spans="1:5" x14ac:dyDescent="0.3">
      <c r="A478">
        <v>272</v>
      </c>
      <c r="B478" t="s">
        <v>179</v>
      </c>
      <c r="C478" s="1">
        <v>44457.916666666664</v>
      </c>
      <c r="D478" s="1">
        <v>44457.9375</v>
      </c>
      <c r="E47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79" spans="1:5" x14ac:dyDescent="0.3">
      <c r="A479">
        <v>272</v>
      </c>
      <c r="B479" t="s">
        <v>68</v>
      </c>
      <c r="C479" s="1">
        <v>44467.680555555555</v>
      </c>
      <c r="D479" s="1">
        <v>44470.875</v>
      </c>
      <c r="E479" s="17">
        <f>IF(Tablo2[[#This Row],[Başlangıç]]="","",(IF(Tablo2[[#This Row],[Bitiş]]="",($G$1-Tablo2[[#This Row],[Başlangıç]])*24,(Tablo2[[#This Row],[Bitiş]]-Tablo2[[#This Row],[Başlangıç]])*24)))</f>
        <v>76.666666666686069</v>
      </c>
    </row>
    <row r="480" spans="1:5" x14ac:dyDescent="0.3">
      <c r="A480">
        <v>272</v>
      </c>
      <c r="B480" t="s">
        <v>37</v>
      </c>
      <c r="C480" s="1">
        <v>44461.706250000003</v>
      </c>
      <c r="D480" s="1">
        <v>44466.291666666664</v>
      </c>
      <c r="E480" s="17">
        <f>IF(Tablo2[[#This Row],[Başlangıç]]="","",(IF(Tablo2[[#This Row],[Bitiş]]="",($G$1-Tablo2[[#This Row],[Başlangıç]])*24,(Tablo2[[#This Row],[Bitiş]]-Tablo2[[#This Row],[Başlangıç]])*24)))</f>
        <v>110.04999999987194</v>
      </c>
    </row>
    <row r="481" spans="1:5" x14ac:dyDescent="0.3">
      <c r="A481">
        <v>272</v>
      </c>
      <c r="B481" t="s">
        <v>65</v>
      </c>
      <c r="C481" s="1">
        <v>44467.013888888891</v>
      </c>
      <c r="D481" s="1">
        <v>44467.388888888891</v>
      </c>
      <c r="E481" s="17">
        <f>IF(Tablo2[[#This Row],[Başlangıç]]="","",(IF(Tablo2[[#This Row],[Bitiş]]="",($G$1-Tablo2[[#This Row],[Başlangıç]])*24,(Tablo2[[#This Row],[Bitiş]]-Tablo2[[#This Row],[Başlangıç]])*24)))</f>
        <v>9</v>
      </c>
    </row>
    <row r="482" spans="1:5" x14ac:dyDescent="0.3">
      <c r="A482">
        <v>273</v>
      </c>
      <c r="B482" t="s">
        <v>36</v>
      </c>
      <c r="C482" s="1">
        <v>44458.322916666664</v>
      </c>
      <c r="D482" s="1">
        <v>44465.458333333336</v>
      </c>
      <c r="E482" s="17">
        <f>IF(Tablo2[[#This Row],[Başlangıç]]="","",(IF(Tablo2[[#This Row],[Bitiş]]="",($G$1-Tablo2[[#This Row],[Başlangıç]])*24,(Tablo2[[#This Row],[Bitiş]]-Tablo2[[#This Row],[Başlangıç]])*24)))</f>
        <v>171.25000000011642</v>
      </c>
    </row>
    <row r="483" spans="1:5" x14ac:dyDescent="0.3">
      <c r="A483">
        <v>273</v>
      </c>
      <c r="B483" t="s">
        <v>84</v>
      </c>
      <c r="C483" s="1">
        <v>44462.541666666664</v>
      </c>
      <c r="D483" s="1">
        <v>44467</v>
      </c>
      <c r="E483" s="17">
        <f>IF(Tablo2[[#This Row],[Başlangıç]]="","",(IF(Tablo2[[#This Row],[Bitiş]]="",($G$1-Tablo2[[#This Row],[Başlangıç]])*24,(Tablo2[[#This Row],[Bitiş]]-Tablo2[[#This Row],[Başlangıç]])*24)))</f>
        <v>107.00000000005821</v>
      </c>
    </row>
    <row r="484" spans="1:5" x14ac:dyDescent="0.3">
      <c r="A484">
        <v>273</v>
      </c>
      <c r="B484" t="s">
        <v>179</v>
      </c>
      <c r="C484" s="1">
        <v>44458.322916666664</v>
      </c>
      <c r="D484" s="1">
        <v>44458.34375</v>
      </c>
      <c r="E48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85" spans="1:5" x14ac:dyDescent="0.3">
      <c r="A485">
        <v>273</v>
      </c>
      <c r="B485" t="s">
        <v>68</v>
      </c>
      <c r="C485" s="1">
        <v>44465.770833333336</v>
      </c>
      <c r="D485" s="1">
        <v>44466.841666666667</v>
      </c>
      <c r="E485" s="17">
        <f>IF(Tablo2[[#This Row],[Başlangıç]]="","",(IF(Tablo2[[#This Row],[Bitiş]]="",($G$1-Tablo2[[#This Row],[Başlangıç]])*24,(Tablo2[[#This Row],[Bitiş]]-Tablo2[[#This Row],[Başlangıç]])*24)))</f>
        <v>25.699999999953434</v>
      </c>
    </row>
    <row r="486" spans="1:5" x14ac:dyDescent="0.3">
      <c r="A486">
        <v>273</v>
      </c>
      <c r="B486" t="s">
        <v>37</v>
      </c>
      <c r="C486" s="1">
        <v>44459.756944444445</v>
      </c>
      <c r="D486" s="1">
        <v>44466.673611111109</v>
      </c>
      <c r="E486" s="17">
        <f>IF(Tablo2[[#This Row],[Başlangıç]]="","",(IF(Tablo2[[#This Row],[Bitiş]]="",($G$1-Tablo2[[#This Row],[Başlangıç]])*24,(Tablo2[[#This Row],[Bitiş]]-Tablo2[[#This Row],[Başlangıç]])*24)))</f>
        <v>165.99999999994179</v>
      </c>
    </row>
    <row r="487" spans="1:5" x14ac:dyDescent="0.3">
      <c r="A487">
        <v>273</v>
      </c>
      <c r="B487" t="s">
        <v>65</v>
      </c>
      <c r="C487" s="1">
        <v>44464.677083333336</v>
      </c>
      <c r="D487" s="1">
        <v>44465.416666666664</v>
      </c>
      <c r="E487" s="17">
        <f>IF(Tablo2[[#This Row],[Başlangıç]]="","",(IF(Tablo2[[#This Row],[Bitiş]]="",($G$1-Tablo2[[#This Row],[Başlangıç]])*24,(Tablo2[[#This Row],[Bitiş]]-Tablo2[[#This Row],[Başlangıç]])*24)))</f>
        <v>17.749999999883585</v>
      </c>
    </row>
    <row r="488" spans="1:5" x14ac:dyDescent="0.3">
      <c r="A488">
        <v>274</v>
      </c>
      <c r="B488" t="s">
        <v>36</v>
      </c>
      <c r="C488" s="1">
        <v>44458.75</v>
      </c>
      <c r="D488" s="1">
        <v>44466.4375</v>
      </c>
      <c r="E488" s="17">
        <f>IF(Tablo2[[#This Row],[Başlangıç]]="","",(IF(Tablo2[[#This Row],[Bitiş]]="",($G$1-Tablo2[[#This Row],[Başlangıç]])*24,(Tablo2[[#This Row],[Bitiş]]-Tablo2[[#This Row],[Başlangıç]])*24)))</f>
        <v>184.5</v>
      </c>
    </row>
    <row r="489" spans="1:5" x14ac:dyDescent="0.3">
      <c r="A489">
        <v>274</v>
      </c>
      <c r="B489" t="s">
        <v>84</v>
      </c>
      <c r="C489" s="1">
        <v>44462.541666666664</v>
      </c>
      <c r="D489" s="1">
        <v>44466.51666666667</v>
      </c>
      <c r="E489" s="17">
        <f>IF(Tablo2[[#This Row],[Başlangıç]]="","",(IF(Tablo2[[#This Row],[Bitiş]]="",($G$1-Tablo2[[#This Row],[Başlangıç]])*24,(Tablo2[[#This Row],[Bitiş]]-Tablo2[[#This Row],[Başlangıç]])*24)))</f>
        <v>95.400000000139698</v>
      </c>
    </row>
    <row r="490" spans="1:5" x14ac:dyDescent="0.3">
      <c r="A490">
        <v>274</v>
      </c>
      <c r="B490" t="s">
        <v>179</v>
      </c>
      <c r="C490" s="1">
        <v>44458.75</v>
      </c>
      <c r="D490" s="1">
        <v>44458.770833333336</v>
      </c>
      <c r="E49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91" spans="1:5" x14ac:dyDescent="0.3">
      <c r="A491">
        <v>274</v>
      </c>
      <c r="B491" t="s">
        <v>68</v>
      </c>
      <c r="C491" s="1">
        <v>44465.354166666664</v>
      </c>
      <c r="D491" s="1">
        <v>44466.638888888891</v>
      </c>
      <c r="E491" s="17">
        <f>IF(Tablo2[[#This Row],[Başlangıç]]="","",(IF(Tablo2[[#This Row],[Bitiş]]="",($G$1-Tablo2[[#This Row],[Başlangıç]])*24,(Tablo2[[#This Row],[Bitiş]]-Tablo2[[#This Row],[Başlangıç]])*24)))</f>
        <v>30.833333333430346</v>
      </c>
    </row>
    <row r="492" spans="1:5" x14ac:dyDescent="0.3">
      <c r="A492">
        <v>274</v>
      </c>
      <c r="B492" t="s">
        <v>37</v>
      </c>
      <c r="C492" s="1">
        <v>44460.388888888891</v>
      </c>
      <c r="D492" s="1">
        <v>44466.545138888891</v>
      </c>
      <c r="E492" s="17">
        <f>IF(Tablo2[[#This Row],[Başlangıç]]="","",(IF(Tablo2[[#This Row],[Bitiş]]="",($G$1-Tablo2[[#This Row],[Başlangıç]])*24,(Tablo2[[#This Row],[Bitiş]]-Tablo2[[#This Row],[Başlangıç]])*24)))</f>
        <v>147.75</v>
      </c>
    </row>
    <row r="493" spans="1:5" x14ac:dyDescent="0.3">
      <c r="A493">
        <v>274</v>
      </c>
      <c r="B493" t="s">
        <v>65</v>
      </c>
      <c r="C493" s="1">
        <v>44464.018750000003</v>
      </c>
      <c r="D493" s="1">
        <v>44464.90625</v>
      </c>
      <c r="E493" s="17">
        <f>IF(Tablo2[[#This Row],[Başlangıç]]="","",(IF(Tablo2[[#This Row],[Bitiş]]="",($G$1-Tablo2[[#This Row],[Başlangıç]])*24,(Tablo2[[#This Row],[Bitiş]]-Tablo2[[#This Row],[Başlangıç]])*24)))</f>
        <v>21.299999999930151</v>
      </c>
    </row>
    <row r="494" spans="1:5" x14ac:dyDescent="0.3">
      <c r="A494">
        <v>275</v>
      </c>
      <c r="B494" t="s">
        <v>36</v>
      </c>
      <c r="C494" s="1">
        <v>44459.25</v>
      </c>
      <c r="D494" s="1">
        <v>44467.510416666664</v>
      </c>
      <c r="E494" s="17">
        <f>IF(Tablo2[[#This Row],[Başlangıç]]="","",(IF(Tablo2[[#This Row],[Bitiş]]="",($G$1-Tablo2[[#This Row],[Başlangıç]])*24,(Tablo2[[#This Row],[Bitiş]]-Tablo2[[#This Row],[Başlangıç]])*24)))</f>
        <v>198.24999999994179</v>
      </c>
    </row>
    <row r="495" spans="1:5" x14ac:dyDescent="0.3">
      <c r="A495">
        <v>275</v>
      </c>
      <c r="B495" t="s">
        <v>84</v>
      </c>
      <c r="C495" s="1">
        <v>44462.541666666664</v>
      </c>
      <c r="D495" s="1">
        <v>44467.525694444441</v>
      </c>
      <c r="E495" s="17">
        <f>IF(Tablo2[[#This Row],[Başlangıç]]="","",(IF(Tablo2[[#This Row],[Bitiş]]="",($G$1-Tablo2[[#This Row],[Başlangıç]])*24,(Tablo2[[#This Row],[Bitiş]]-Tablo2[[#This Row],[Başlangıç]])*24)))</f>
        <v>119.6166666666395</v>
      </c>
    </row>
    <row r="496" spans="1:5" x14ac:dyDescent="0.3">
      <c r="A496">
        <v>275</v>
      </c>
      <c r="B496" t="s">
        <v>179</v>
      </c>
      <c r="C496" s="1">
        <v>44459.25</v>
      </c>
      <c r="D496" s="1">
        <v>44459.270833333336</v>
      </c>
      <c r="E49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497" spans="1:5" x14ac:dyDescent="0.3">
      <c r="A497">
        <v>275</v>
      </c>
      <c r="B497" t="s">
        <v>68</v>
      </c>
      <c r="C497" s="1">
        <v>44466.083333333336</v>
      </c>
      <c r="D497" s="1">
        <v>44467.572916666664</v>
      </c>
      <c r="E497" s="17">
        <f>IF(Tablo2[[#This Row],[Başlangıç]]="","",(IF(Tablo2[[#This Row],[Bitiş]]="",($G$1-Tablo2[[#This Row],[Başlangıç]])*24,(Tablo2[[#This Row],[Bitiş]]-Tablo2[[#This Row],[Başlangıç]])*24)))</f>
        <v>35.749999999883585</v>
      </c>
    </row>
    <row r="498" spans="1:5" x14ac:dyDescent="0.3">
      <c r="A498">
        <v>275</v>
      </c>
      <c r="B498" t="s">
        <v>37</v>
      </c>
      <c r="C498" s="1">
        <v>44461.113194444442</v>
      </c>
      <c r="D498" s="1">
        <v>44464.763888888891</v>
      </c>
      <c r="E498" s="17">
        <f>IF(Tablo2[[#This Row],[Başlangıç]]="","",(IF(Tablo2[[#This Row],[Bitiş]]="",($G$1-Tablo2[[#This Row],[Başlangıç]])*24,(Tablo2[[#This Row],[Bitiş]]-Tablo2[[#This Row],[Başlangıç]])*24)))</f>
        <v>87.616666666755918</v>
      </c>
    </row>
    <row r="499" spans="1:5" x14ac:dyDescent="0.3">
      <c r="A499">
        <v>275</v>
      </c>
      <c r="B499" t="s">
        <v>65</v>
      </c>
      <c r="C499" s="1">
        <v>44464.840277777781</v>
      </c>
      <c r="D499" s="1">
        <v>44465.791666666664</v>
      </c>
      <c r="E499" s="17">
        <f>IF(Tablo2[[#This Row],[Başlangıç]]="","",(IF(Tablo2[[#This Row],[Bitiş]]="",($G$1-Tablo2[[#This Row],[Başlangıç]])*24,(Tablo2[[#This Row],[Bitiş]]-Tablo2[[#This Row],[Başlangıç]])*24)))</f>
        <v>22.833333333197515</v>
      </c>
    </row>
    <row r="500" spans="1:5" x14ac:dyDescent="0.3">
      <c r="A500">
        <v>276</v>
      </c>
      <c r="B500" t="s">
        <v>36</v>
      </c>
      <c r="C500" s="1">
        <v>44459.041666666664</v>
      </c>
      <c r="D500" s="1">
        <v>44468.614583333336</v>
      </c>
      <c r="E500" s="17">
        <f>IF(Tablo2[[#This Row],[Başlangıç]]="","",(IF(Tablo2[[#This Row],[Bitiş]]="",($G$1-Tablo2[[#This Row],[Başlangıç]])*24,(Tablo2[[#This Row],[Bitiş]]-Tablo2[[#This Row],[Başlangıç]])*24)))</f>
        <v>229.75000000011642</v>
      </c>
    </row>
    <row r="501" spans="1:5" x14ac:dyDescent="0.3">
      <c r="A501">
        <v>276</v>
      </c>
      <c r="B501" t="s">
        <v>84</v>
      </c>
      <c r="C501" s="1">
        <v>44462.541666666664</v>
      </c>
      <c r="D501" s="1">
        <v>44470.041666666664</v>
      </c>
      <c r="E501" s="17">
        <f>IF(Tablo2[[#This Row],[Başlangıç]]="","",(IF(Tablo2[[#This Row],[Bitiş]]="",($G$1-Tablo2[[#This Row],[Başlangıç]])*24,(Tablo2[[#This Row],[Bitiş]]-Tablo2[[#This Row],[Başlangıç]])*24)))</f>
        <v>180</v>
      </c>
    </row>
    <row r="502" spans="1:5" x14ac:dyDescent="0.3">
      <c r="A502">
        <v>276</v>
      </c>
      <c r="B502" t="s">
        <v>179</v>
      </c>
      <c r="C502" s="1">
        <v>44459.041666666664</v>
      </c>
      <c r="D502" s="1">
        <v>44459.0625</v>
      </c>
      <c r="E50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03" spans="1:5" x14ac:dyDescent="0.3">
      <c r="A503">
        <v>276</v>
      </c>
      <c r="B503" t="s">
        <v>68</v>
      </c>
      <c r="C503" s="1">
        <v>44468.680555555555</v>
      </c>
      <c r="D503" s="1">
        <v>44470.296527777777</v>
      </c>
      <c r="E503" s="17">
        <f>IF(Tablo2[[#This Row],[Başlangıç]]="","",(IF(Tablo2[[#This Row],[Bitiş]]="",($G$1-Tablo2[[#This Row],[Başlangıç]])*24,(Tablo2[[#This Row],[Bitiş]]-Tablo2[[#This Row],[Başlangıç]])*24)))</f>
        <v>38.783333333325572</v>
      </c>
    </row>
    <row r="504" spans="1:5" x14ac:dyDescent="0.3">
      <c r="A504">
        <v>276</v>
      </c>
      <c r="B504" t="s">
        <v>37</v>
      </c>
      <c r="C504" s="1">
        <v>44464.745138888888</v>
      </c>
      <c r="D504" s="1">
        <v>44467.888888888891</v>
      </c>
      <c r="E504" s="17">
        <f>IF(Tablo2[[#This Row],[Başlangıç]]="","",(IF(Tablo2[[#This Row],[Bitiş]]="",($G$1-Tablo2[[#This Row],[Başlangıç]])*24,(Tablo2[[#This Row],[Bitiş]]-Tablo2[[#This Row],[Başlangıç]])*24)))</f>
        <v>75.450000000069849</v>
      </c>
    </row>
    <row r="505" spans="1:5" x14ac:dyDescent="0.3">
      <c r="A505">
        <v>276</v>
      </c>
      <c r="B505" t="s">
        <v>65</v>
      </c>
      <c r="C505" s="1">
        <v>44467.625</v>
      </c>
      <c r="D505" s="1">
        <v>44468.430555555555</v>
      </c>
      <c r="E505" s="17">
        <f>IF(Tablo2[[#This Row],[Başlangıç]]="","",(IF(Tablo2[[#This Row],[Bitiş]]="",($G$1-Tablo2[[#This Row],[Başlangıç]])*24,(Tablo2[[#This Row],[Bitiş]]-Tablo2[[#This Row],[Başlangıç]])*24)))</f>
        <v>19.333333333313931</v>
      </c>
    </row>
    <row r="506" spans="1:5" x14ac:dyDescent="0.3">
      <c r="A506">
        <v>277</v>
      </c>
      <c r="B506" t="s">
        <v>36</v>
      </c>
      <c r="C506" s="1">
        <v>44461.885416666664</v>
      </c>
      <c r="D506" s="1">
        <v>44468.368055555555</v>
      </c>
      <c r="E506" s="17">
        <f>IF(Tablo2[[#This Row],[Başlangıç]]="","",(IF(Tablo2[[#This Row],[Bitiş]]="",($G$1-Tablo2[[#This Row],[Başlangıç]])*24,(Tablo2[[#This Row],[Bitiş]]-Tablo2[[#This Row],[Başlangıç]])*24)))</f>
        <v>155.58333333337214</v>
      </c>
    </row>
    <row r="507" spans="1:5" x14ac:dyDescent="0.3">
      <c r="A507">
        <v>277</v>
      </c>
      <c r="B507" t="s">
        <v>84</v>
      </c>
      <c r="C507" s="1">
        <v>44462.541666666664</v>
      </c>
      <c r="D507" s="1">
        <v>44471.041666666664</v>
      </c>
      <c r="E507" s="17">
        <f>IF(Tablo2[[#This Row],[Başlangıç]]="","",(IF(Tablo2[[#This Row],[Bitiş]]="",($G$1-Tablo2[[#This Row],[Başlangıç]])*24,(Tablo2[[#This Row],[Bitiş]]-Tablo2[[#This Row],[Başlangıç]])*24)))</f>
        <v>204</v>
      </c>
    </row>
    <row r="508" spans="1:5" x14ac:dyDescent="0.3">
      <c r="A508">
        <v>277</v>
      </c>
      <c r="B508" t="s">
        <v>179</v>
      </c>
      <c r="C508" s="1">
        <v>44461.885416666664</v>
      </c>
      <c r="D508" s="1">
        <v>44461.90625</v>
      </c>
      <c r="E50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09" spans="1:5" x14ac:dyDescent="0.3">
      <c r="A509">
        <v>277</v>
      </c>
      <c r="B509" t="s">
        <v>68</v>
      </c>
      <c r="C509" s="1">
        <v>44440.340277777781</v>
      </c>
      <c r="D509" s="1">
        <v>44471.229166666664</v>
      </c>
      <c r="E509" s="17">
        <f>IF(Tablo2[[#This Row],[Başlangıç]]="","",(IF(Tablo2[[#This Row],[Bitiş]]="",($G$1-Tablo2[[#This Row],[Başlangıç]])*24,(Tablo2[[#This Row],[Bitiş]]-Tablo2[[#This Row],[Başlangıç]])*24)))</f>
        <v>741.33333333319752</v>
      </c>
    </row>
    <row r="510" spans="1:5" x14ac:dyDescent="0.3">
      <c r="A510">
        <v>277</v>
      </c>
      <c r="B510" t="s">
        <v>37</v>
      </c>
      <c r="C510" s="1">
        <v>44461.861111111109</v>
      </c>
      <c r="D510" s="1">
        <v>44468.430555555555</v>
      </c>
      <c r="E510" s="17">
        <f>IF(Tablo2[[#This Row],[Başlangıç]]="","",(IF(Tablo2[[#This Row],[Bitiş]]="",($G$1-Tablo2[[#This Row],[Başlangıç]])*24,(Tablo2[[#This Row],[Bitiş]]-Tablo2[[#This Row],[Başlangıç]])*24)))</f>
        <v>157.66666666668607</v>
      </c>
    </row>
    <row r="511" spans="1:5" x14ac:dyDescent="0.3">
      <c r="A511">
        <v>277</v>
      </c>
      <c r="B511" t="s">
        <v>65</v>
      </c>
      <c r="C511" s="1">
        <v>44468.791666666664</v>
      </c>
      <c r="D511" s="1">
        <v>44469.513888888891</v>
      </c>
      <c r="E511" s="17">
        <f>IF(Tablo2[[#This Row],[Başlangıç]]="","",(IF(Tablo2[[#This Row],[Bitiş]]="",($G$1-Tablo2[[#This Row],[Başlangıç]])*24,(Tablo2[[#This Row],[Bitiş]]-Tablo2[[#This Row],[Başlangıç]])*24)))</f>
        <v>17.333333333430346</v>
      </c>
    </row>
    <row r="512" spans="1:5" x14ac:dyDescent="0.3">
      <c r="A512">
        <v>278</v>
      </c>
      <c r="B512" t="s">
        <v>36</v>
      </c>
      <c r="C512" s="1">
        <v>44462.791666666664</v>
      </c>
      <c r="D512" s="1">
        <v>44470.406944444447</v>
      </c>
      <c r="E512" s="17">
        <f>IF(Tablo2[[#This Row],[Başlangıç]]="","",(IF(Tablo2[[#This Row],[Bitiş]]="",($G$1-Tablo2[[#This Row],[Başlangıç]])*24,(Tablo2[[#This Row],[Bitiş]]-Tablo2[[#This Row],[Başlangıç]])*24)))</f>
        <v>182.7666666667792</v>
      </c>
    </row>
    <row r="513" spans="1:5" x14ac:dyDescent="0.3">
      <c r="A513">
        <v>278</v>
      </c>
      <c r="B513" t="s">
        <v>84</v>
      </c>
      <c r="C513" s="1">
        <v>44474.833333333336</v>
      </c>
      <c r="D513" s="1">
        <v>44475.034722222219</v>
      </c>
      <c r="E513" s="17">
        <f>IF(Tablo2[[#This Row],[Başlangıç]]="","",(IF(Tablo2[[#This Row],[Bitiş]]="",($G$1-Tablo2[[#This Row],[Başlangıç]])*24,(Tablo2[[#This Row],[Bitiş]]-Tablo2[[#This Row],[Başlangıç]])*24)))</f>
        <v>4.8333333331975155</v>
      </c>
    </row>
    <row r="514" spans="1:5" x14ac:dyDescent="0.3">
      <c r="A514">
        <v>278</v>
      </c>
      <c r="B514" t="s">
        <v>179</v>
      </c>
      <c r="C514" s="1">
        <v>44462.791666666664</v>
      </c>
      <c r="D514" s="1">
        <v>44462.8125</v>
      </c>
      <c r="E5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15" spans="1:5" x14ac:dyDescent="0.3">
      <c r="A515">
        <v>278</v>
      </c>
      <c r="B515" t="s">
        <v>68</v>
      </c>
      <c r="C515" s="1">
        <v>44476.208333333336</v>
      </c>
      <c r="D515" s="1">
        <v>44477.573611111111</v>
      </c>
      <c r="E515" s="17">
        <f>IF(Tablo2[[#This Row],[Başlangıç]]="","",(IF(Tablo2[[#This Row],[Bitiş]]="",($G$1-Tablo2[[#This Row],[Başlangıç]])*24,(Tablo2[[#This Row],[Bitiş]]-Tablo2[[#This Row],[Başlangıç]])*24)))</f>
        <v>32.766666666604578</v>
      </c>
    </row>
    <row r="516" spans="1:5" x14ac:dyDescent="0.3">
      <c r="A516">
        <v>278</v>
      </c>
      <c r="B516" t="s">
        <v>37</v>
      </c>
      <c r="C516" s="1">
        <v>44464.022916666669</v>
      </c>
      <c r="D516" s="1">
        <v>44474.555555555555</v>
      </c>
      <c r="E516" s="17">
        <f>IF(Tablo2[[#This Row],[Başlangıç]]="","",(IF(Tablo2[[#This Row],[Bitiş]]="",($G$1-Tablo2[[#This Row],[Başlangıç]])*24,(Tablo2[[#This Row],[Bitiş]]-Tablo2[[#This Row],[Başlangıç]])*24)))</f>
        <v>252.78333333326736</v>
      </c>
    </row>
    <row r="517" spans="1:5" x14ac:dyDescent="0.3">
      <c r="A517">
        <v>278</v>
      </c>
      <c r="B517" t="s">
        <v>65</v>
      </c>
      <c r="C517" s="1">
        <v>44469.996527777781</v>
      </c>
      <c r="D517" s="1">
        <v>44474.90625</v>
      </c>
      <c r="E517" s="17">
        <f>IF(Tablo2[[#This Row],[Başlangıç]]="","",(IF(Tablo2[[#This Row],[Bitiş]]="",($G$1-Tablo2[[#This Row],[Başlangıç]])*24,(Tablo2[[#This Row],[Bitiş]]-Tablo2[[#This Row],[Başlangıç]])*24)))</f>
        <v>117.83333333325572</v>
      </c>
    </row>
    <row r="518" spans="1:5" x14ac:dyDescent="0.3">
      <c r="A518">
        <v>279</v>
      </c>
      <c r="B518" t="s">
        <v>36</v>
      </c>
      <c r="C518" s="1">
        <v>44463.208333333336</v>
      </c>
      <c r="D518" s="1">
        <v>44470.545138888891</v>
      </c>
      <c r="E518" s="17">
        <f>IF(Tablo2[[#This Row],[Başlangıç]]="","",(IF(Tablo2[[#This Row],[Bitiş]]="",($G$1-Tablo2[[#This Row],[Başlangıç]])*24,(Tablo2[[#This Row],[Bitiş]]-Tablo2[[#This Row],[Başlangıç]])*24)))</f>
        <v>176.08333333331393</v>
      </c>
    </row>
    <row r="519" spans="1:5" x14ac:dyDescent="0.3">
      <c r="A519">
        <v>279</v>
      </c>
      <c r="B519" t="s">
        <v>84</v>
      </c>
      <c r="C519" s="1">
        <v>44472.78125</v>
      </c>
      <c r="D519" s="1">
        <v>44475.0625</v>
      </c>
      <c r="E519" s="17">
        <f>IF(Tablo2[[#This Row],[Başlangıç]]="","",(IF(Tablo2[[#This Row],[Bitiş]]="",($G$1-Tablo2[[#This Row],[Başlangıç]])*24,(Tablo2[[#This Row],[Bitiş]]-Tablo2[[#This Row],[Başlangıç]])*24)))</f>
        <v>54.75</v>
      </c>
    </row>
    <row r="520" spans="1:5" x14ac:dyDescent="0.3">
      <c r="A520">
        <v>279</v>
      </c>
      <c r="B520" t="s">
        <v>179</v>
      </c>
      <c r="C520" s="1">
        <v>44463.208333333336</v>
      </c>
      <c r="D520" s="1">
        <v>44463.229166666664</v>
      </c>
      <c r="E52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21" spans="1:5" x14ac:dyDescent="0.3">
      <c r="A521">
        <v>279</v>
      </c>
      <c r="B521" t="s">
        <v>68</v>
      </c>
      <c r="C521" s="1">
        <v>44472.965277777781</v>
      </c>
      <c r="D521" s="1">
        <v>44475.300694444442</v>
      </c>
      <c r="E521" s="17">
        <f>IF(Tablo2[[#This Row],[Başlangıç]]="","",(IF(Tablo2[[#This Row],[Bitiş]]="",($G$1-Tablo2[[#This Row],[Başlangıç]])*24,(Tablo2[[#This Row],[Bitiş]]-Tablo2[[#This Row],[Başlangıç]])*24)))</f>
        <v>56.049999999871943</v>
      </c>
    </row>
    <row r="522" spans="1:5" x14ac:dyDescent="0.3">
      <c r="A522">
        <v>279</v>
      </c>
      <c r="B522" t="s">
        <v>37</v>
      </c>
      <c r="C522" s="1">
        <v>44465.051388888889</v>
      </c>
      <c r="D522" s="1">
        <v>44472.25</v>
      </c>
      <c r="E522" s="17">
        <f>IF(Tablo2[[#This Row],[Başlangıç]]="","",(IF(Tablo2[[#This Row],[Bitiş]]="",($G$1-Tablo2[[#This Row],[Başlangıç]])*24,(Tablo2[[#This Row],[Bitiş]]-Tablo2[[#This Row],[Başlangıç]])*24)))</f>
        <v>172.76666666666279</v>
      </c>
    </row>
    <row r="523" spans="1:5" x14ac:dyDescent="0.3">
      <c r="A523">
        <v>279</v>
      </c>
      <c r="B523" t="s">
        <v>65</v>
      </c>
      <c r="C523" s="1">
        <v>44471.680555555555</v>
      </c>
      <c r="D523" s="1">
        <v>44472.548611111109</v>
      </c>
      <c r="E523" s="17">
        <f>IF(Tablo2[[#This Row],[Başlangıç]]="","",(IF(Tablo2[[#This Row],[Bitiş]]="",($G$1-Tablo2[[#This Row],[Başlangıç]])*24,(Tablo2[[#This Row],[Bitiş]]-Tablo2[[#This Row],[Başlangıç]])*24)))</f>
        <v>20.833333333313931</v>
      </c>
    </row>
    <row r="524" spans="1:5" x14ac:dyDescent="0.3">
      <c r="A524">
        <v>280</v>
      </c>
      <c r="B524" t="s">
        <v>36</v>
      </c>
      <c r="C524" s="1">
        <v>44463.770833333336</v>
      </c>
      <c r="D524" s="1">
        <v>44469.958333333336</v>
      </c>
      <c r="E524" s="17">
        <f>IF(Tablo2[[#This Row],[Başlangıç]]="","",(IF(Tablo2[[#This Row],[Bitiş]]="",($G$1-Tablo2[[#This Row],[Başlangıç]])*24,(Tablo2[[#This Row],[Bitiş]]-Tablo2[[#This Row],[Başlangıç]])*24)))</f>
        <v>148.5</v>
      </c>
    </row>
    <row r="525" spans="1:5" x14ac:dyDescent="0.3">
      <c r="A525">
        <v>280</v>
      </c>
      <c r="B525" t="s">
        <v>84</v>
      </c>
      <c r="C525" s="1">
        <v>44468.923611111109</v>
      </c>
      <c r="D525" s="1">
        <v>44470</v>
      </c>
      <c r="E525" s="17">
        <f>IF(Tablo2[[#This Row],[Başlangıç]]="","",(IF(Tablo2[[#This Row],[Bitiş]]="",($G$1-Tablo2[[#This Row],[Başlangıç]])*24,(Tablo2[[#This Row],[Bitiş]]-Tablo2[[#This Row],[Başlangıç]])*24)))</f>
        <v>25.833333333372138</v>
      </c>
    </row>
    <row r="526" spans="1:5" x14ac:dyDescent="0.3">
      <c r="A526">
        <v>280</v>
      </c>
      <c r="B526" t="s">
        <v>179</v>
      </c>
      <c r="C526" s="1">
        <v>44463.770833333336</v>
      </c>
      <c r="D526" s="1">
        <v>44463.791666666664</v>
      </c>
      <c r="E52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27" spans="1:5" x14ac:dyDescent="0.3">
      <c r="A527">
        <v>280</v>
      </c>
      <c r="B527" t="s">
        <v>68</v>
      </c>
      <c r="C527" s="1">
        <v>44469.09375</v>
      </c>
      <c r="D527" s="1">
        <v>44470.534722222219</v>
      </c>
      <c r="E527" s="17">
        <f>IF(Tablo2[[#This Row],[Başlangıç]]="","",(IF(Tablo2[[#This Row],[Bitiş]]="",($G$1-Tablo2[[#This Row],[Başlangıç]])*24,(Tablo2[[#This Row],[Bitiş]]-Tablo2[[#This Row],[Başlangıç]])*24)))</f>
        <v>34.583333333255723</v>
      </c>
    </row>
    <row r="528" spans="1:5" x14ac:dyDescent="0.3">
      <c r="A528">
        <v>280</v>
      </c>
      <c r="B528" t="s">
        <v>37</v>
      </c>
      <c r="C528" s="1">
        <v>44465.31527777778</v>
      </c>
      <c r="D528" s="1">
        <v>44468.597222222219</v>
      </c>
      <c r="E528" s="17">
        <f>IF(Tablo2[[#This Row],[Başlangıç]]="","",(IF(Tablo2[[#This Row],[Bitiş]]="",($G$1-Tablo2[[#This Row],[Başlangıç]])*24,(Tablo2[[#This Row],[Bitiş]]-Tablo2[[#This Row],[Başlangıç]])*24)))</f>
        <v>78.766666666546371</v>
      </c>
    </row>
    <row r="529" spans="1:5" x14ac:dyDescent="0.3">
      <c r="A529">
        <v>280</v>
      </c>
      <c r="B529" t="s">
        <v>65</v>
      </c>
      <c r="C529" s="1">
        <v>44467.857638888891</v>
      </c>
      <c r="D529" s="1">
        <v>44468.909722222219</v>
      </c>
      <c r="E529" s="17">
        <f>IF(Tablo2[[#This Row],[Başlangıç]]="","",(IF(Tablo2[[#This Row],[Bitiş]]="",($G$1-Tablo2[[#This Row],[Başlangıç]])*24,(Tablo2[[#This Row],[Bitiş]]-Tablo2[[#This Row],[Başlangıç]])*24)))</f>
        <v>25.249999999883585</v>
      </c>
    </row>
    <row r="530" spans="1:5" x14ac:dyDescent="0.3">
      <c r="A530">
        <v>281</v>
      </c>
      <c r="B530" t="s">
        <v>36</v>
      </c>
      <c r="C530" s="1">
        <v>44464.239583333336</v>
      </c>
      <c r="D530" s="1">
        <v>44470.371527777781</v>
      </c>
      <c r="E530" s="17">
        <f>IF(Tablo2[[#This Row],[Başlangıç]]="","",(IF(Tablo2[[#This Row],[Bitiş]]="",($G$1-Tablo2[[#This Row],[Başlangıç]])*24,(Tablo2[[#This Row],[Bitiş]]-Tablo2[[#This Row],[Başlangıç]])*24)))</f>
        <v>147.16666666668607</v>
      </c>
    </row>
    <row r="531" spans="1:5" x14ac:dyDescent="0.3">
      <c r="A531">
        <v>281</v>
      </c>
      <c r="B531" t="s">
        <v>84</v>
      </c>
      <c r="C531" s="1">
        <v>44473.260416666664</v>
      </c>
      <c r="D531" s="1">
        <v>44474</v>
      </c>
      <c r="E531" s="17">
        <f>IF(Tablo2[[#This Row],[Başlangıç]]="","",(IF(Tablo2[[#This Row],[Bitiş]]="",($G$1-Tablo2[[#This Row],[Başlangıç]])*24,(Tablo2[[#This Row],[Bitiş]]-Tablo2[[#This Row],[Başlangıç]])*24)))</f>
        <v>17.750000000058208</v>
      </c>
    </row>
    <row r="532" spans="1:5" x14ac:dyDescent="0.3">
      <c r="A532">
        <v>281</v>
      </c>
      <c r="B532" t="s">
        <v>179</v>
      </c>
      <c r="C532" s="1">
        <v>44464.239583333336</v>
      </c>
      <c r="D532" s="1">
        <v>44464.260416666664</v>
      </c>
      <c r="E53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33" spans="1:5" x14ac:dyDescent="0.3">
      <c r="A533">
        <v>281</v>
      </c>
      <c r="B533" t="s">
        <v>68</v>
      </c>
      <c r="C533" s="1">
        <v>44472.958333333336</v>
      </c>
      <c r="D533" s="1">
        <v>44474.298611111109</v>
      </c>
      <c r="E533" s="17">
        <f>IF(Tablo2[[#This Row],[Başlangıç]]="","",(IF(Tablo2[[#This Row],[Bitiş]]="",($G$1-Tablo2[[#This Row],[Başlangıç]])*24,(Tablo2[[#This Row],[Bitiş]]-Tablo2[[#This Row],[Başlangıç]])*24)))</f>
        <v>32.166666666569654</v>
      </c>
    </row>
    <row r="534" spans="1:5" x14ac:dyDescent="0.3">
      <c r="A534">
        <v>281</v>
      </c>
      <c r="B534" t="s">
        <v>37</v>
      </c>
      <c r="C534" s="1">
        <v>44464.449305555558</v>
      </c>
      <c r="D534" s="1">
        <v>44472.920138888891</v>
      </c>
      <c r="E534" s="17">
        <f>IF(Tablo2[[#This Row],[Başlangıç]]="","",(IF(Tablo2[[#This Row],[Bitiş]]="",($G$1-Tablo2[[#This Row],[Başlangıç]])*24,(Tablo2[[#This Row],[Bitiş]]-Tablo2[[#This Row],[Başlangıç]])*24)))</f>
        <v>203.29999999998836</v>
      </c>
    </row>
    <row r="535" spans="1:5" x14ac:dyDescent="0.3">
      <c r="A535">
        <v>281</v>
      </c>
      <c r="B535" t="s">
        <v>65</v>
      </c>
      <c r="C535" s="1">
        <v>44472.020833333336</v>
      </c>
      <c r="D535" s="1">
        <v>44473.180555555555</v>
      </c>
      <c r="E535" s="17">
        <f>IF(Tablo2[[#This Row],[Başlangıç]]="","",(IF(Tablo2[[#This Row],[Bitiş]]="",($G$1-Tablo2[[#This Row],[Başlangıç]])*24,(Tablo2[[#This Row],[Bitiş]]-Tablo2[[#This Row],[Başlangıç]])*24)))</f>
        <v>27.833333333255723</v>
      </c>
    </row>
    <row r="536" spans="1:5" x14ac:dyDescent="0.3">
      <c r="A536">
        <v>282</v>
      </c>
      <c r="B536" t="s">
        <v>36</v>
      </c>
      <c r="C536" s="1">
        <v>44465.833333333336</v>
      </c>
      <c r="D536" s="1">
        <v>44470.475694444445</v>
      </c>
      <c r="E536" s="17">
        <f>IF(Tablo2[[#This Row],[Başlangıç]]="","",(IF(Tablo2[[#This Row],[Bitiş]]="",($G$1-Tablo2[[#This Row],[Başlangıç]])*24,(Tablo2[[#This Row],[Bitiş]]-Tablo2[[#This Row],[Başlangıç]])*24)))</f>
        <v>111.41666666662786</v>
      </c>
    </row>
    <row r="537" spans="1:5" x14ac:dyDescent="0.3">
      <c r="A537">
        <v>282</v>
      </c>
      <c r="B537" t="s">
        <v>84</v>
      </c>
      <c r="C537" s="1">
        <v>44470.34375</v>
      </c>
      <c r="D537" s="1">
        <v>44471.579861111109</v>
      </c>
      <c r="E537" s="17">
        <f>IF(Tablo2[[#This Row],[Başlangıç]]="","",(IF(Tablo2[[#This Row],[Bitiş]]="",($G$1-Tablo2[[#This Row],[Başlangıç]])*24,(Tablo2[[#This Row],[Bitiş]]-Tablo2[[#This Row],[Başlangıç]])*24)))</f>
        <v>29.666666666627862</v>
      </c>
    </row>
    <row r="538" spans="1:5" x14ac:dyDescent="0.3">
      <c r="A538">
        <v>282</v>
      </c>
      <c r="B538" t="s">
        <v>179</v>
      </c>
      <c r="C538" s="1">
        <v>44465.833333333336</v>
      </c>
      <c r="D538" s="1">
        <v>44465.854166666664</v>
      </c>
      <c r="E53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39" spans="1:5" x14ac:dyDescent="0.3">
      <c r="A539">
        <v>282</v>
      </c>
      <c r="B539" t="s">
        <v>68</v>
      </c>
      <c r="C539" s="1">
        <v>44470.951388888891</v>
      </c>
      <c r="D539" s="1">
        <v>44472.074305555558</v>
      </c>
      <c r="E539" s="17">
        <f>IF(Tablo2[[#This Row],[Başlangıç]]="","",(IF(Tablo2[[#This Row],[Bitiş]]="",($G$1-Tablo2[[#This Row],[Başlangıç]])*24,(Tablo2[[#This Row],[Bitiş]]-Tablo2[[#This Row],[Başlangıç]])*24)))</f>
        <v>26.950000000011642</v>
      </c>
    </row>
    <row r="540" spans="1:5" x14ac:dyDescent="0.3">
      <c r="A540">
        <v>282</v>
      </c>
      <c r="B540" t="s">
        <v>37</v>
      </c>
      <c r="C540" s="1">
        <v>44465.106249999997</v>
      </c>
      <c r="D540" s="1">
        <v>44470.729166666664</v>
      </c>
      <c r="E540" s="17">
        <f>IF(Tablo2[[#This Row],[Başlangıç]]="","",(IF(Tablo2[[#This Row],[Bitiş]]="",($G$1-Tablo2[[#This Row],[Başlangıç]])*24,(Tablo2[[#This Row],[Bitiş]]-Tablo2[[#This Row],[Başlangıç]])*24)))</f>
        <v>134.95000000001164</v>
      </c>
    </row>
    <row r="541" spans="1:5" x14ac:dyDescent="0.3">
      <c r="A541">
        <v>282</v>
      </c>
      <c r="B541" t="s">
        <v>65</v>
      </c>
      <c r="C541" s="1">
        <v>44469.8125</v>
      </c>
      <c r="D541" s="1">
        <v>44470.28125</v>
      </c>
      <c r="E541" s="17">
        <f>IF(Tablo2[[#This Row],[Başlangıç]]="","",(IF(Tablo2[[#This Row],[Bitiş]]="",($G$1-Tablo2[[#This Row],[Başlangıç]])*24,(Tablo2[[#This Row],[Bitiş]]-Tablo2[[#This Row],[Başlangıç]])*24)))</f>
        <v>11.25</v>
      </c>
    </row>
    <row r="542" spans="1:5" x14ac:dyDescent="0.3">
      <c r="A542">
        <v>283</v>
      </c>
      <c r="B542" t="s">
        <v>36</v>
      </c>
      <c r="C542" s="1">
        <v>44465.041666666664</v>
      </c>
      <c r="D542" s="1">
        <v>44470.597222222219</v>
      </c>
      <c r="E542" s="17">
        <f>IF(Tablo2[[#This Row],[Başlangıç]]="","",(IF(Tablo2[[#This Row],[Bitiş]]="",($G$1-Tablo2[[#This Row],[Başlangıç]])*24,(Tablo2[[#This Row],[Bitiş]]-Tablo2[[#This Row],[Başlangıç]])*24)))</f>
        <v>133.33333333331393</v>
      </c>
    </row>
    <row r="543" spans="1:5" x14ac:dyDescent="0.3">
      <c r="A543">
        <v>283</v>
      </c>
      <c r="B543" t="s">
        <v>84</v>
      </c>
      <c r="C543" s="1">
        <v>44476.777777777781</v>
      </c>
      <c r="D543" s="1">
        <v>44477.041666666664</v>
      </c>
      <c r="E543" s="17">
        <f>IF(Tablo2[[#This Row],[Başlangıç]]="","",(IF(Tablo2[[#This Row],[Bitiş]]="",($G$1-Tablo2[[#This Row],[Başlangıç]])*24,(Tablo2[[#This Row],[Bitiş]]-Tablo2[[#This Row],[Başlangıç]])*24)))</f>
        <v>6.3333333331975155</v>
      </c>
    </row>
    <row r="544" spans="1:5" x14ac:dyDescent="0.3">
      <c r="A544">
        <v>283</v>
      </c>
      <c r="B544" t="s">
        <v>179</v>
      </c>
      <c r="C544" s="1">
        <v>44465.041666666664</v>
      </c>
      <c r="D544" s="1">
        <v>44465.0625</v>
      </c>
      <c r="E54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45" spans="1:5" x14ac:dyDescent="0.3">
      <c r="A545">
        <v>283</v>
      </c>
      <c r="B545" t="s">
        <v>68</v>
      </c>
      <c r="C545" s="1">
        <v>44477.003472222219</v>
      </c>
      <c r="D545" s="1">
        <v>44477.895833333336</v>
      </c>
      <c r="E545" s="17">
        <f>IF(Tablo2[[#This Row],[Başlangıç]]="","",(IF(Tablo2[[#This Row],[Bitiş]]="",($G$1-Tablo2[[#This Row],[Başlangıç]])*24,(Tablo2[[#This Row],[Bitiş]]-Tablo2[[#This Row],[Başlangıç]])*24)))</f>
        <v>21.416666666802485</v>
      </c>
    </row>
    <row r="546" spans="1:5" x14ac:dyDescent="0.3">
      <c r="A546">
        <v>283</v>
      </c>
      <c r="B546" t="s">
        <v>37</v>
      </c>
      <c r="C546" s="1">
        <v>44467.958333333336</v>
      </c>
      <c r="D546" s="1">
        <v>44473.645833333336</v>
      </c>
      <c r="E546" s="17">
        <f>IF(Tablo2[[#This Row],[Başlangıç]]="","",(IF(Tablo2[[#This Row],[Bitiş]]="",($G$1-Tablo2[[#This Row],[Başlangıç]])*24,(Tablo2[[#This Row],[Bitiş]]-Tablo2[[#This Row],[Başlangıç]])*24)))</f>
        <v>136.5</v>
      </c>
    </row>
    <row r="547" spans="1:5" x14ac:dyDescent="0.3">
      <c r="A547">
        <v>283</v>
      </c>
      <c r="B547" t="s">
        <v>65</v>
      </c>
      <c r="C547" s="1">
        <v>44475.777777777781</v>
      </c>
      <c r="D547" s="1">
        <v>44476.725694444445</v>
      </c>
      <c r="E547" s="17">
        <f>IF(Tablo2[[#This Row],[Başlangıç]]="","",(IF(Tablo2[[#This Row],[Bitiş]]="",($G$1-Tablo2[[#This Row],[Başlangıç]])*24,(Tablo2[[#This Row],[Bitiş]]-Tablo2[[#This Row],[Başlangıç]])*24)))</f>
        <v>22.749999999941792</v>
      </c>
    </row>
    <row r="548" spans="1:5" x14ac:dyDescent="0.3">
      <c r="A548">
        <v>284</v>
      </c>
      <c r="B548" t="s">
        <v>36</v>
      </c>
      <c r="C548" s="1">
        <v>44465.40625</v>
      </c>
      <c r="D548" s="1">
        <v>44470.625</v>
      </c>
      <c r="E548" s="17">
        <f>IF(Tablo2[[#This Row],[Başlangıç]]="","",(IF(Tablo2[[#This Row],[Bitiş]]="",($G$1-Tablo2[[#This Row],[Başlangıç]])*24,(Tablo2[[#This Row],[Bitiş]]-Tablo2[[#This Row],[Başlangıç]])*24)))</f>
        <v>125.25</v>
      </c>
    </row>
    <row r="549" spans="1:5" x14ac:dyDescent="0.3">
      <c r="A549">
        <v>284</v>
      </c>
      <c r="B549" t="s">
        <v>84</v>
      </c>
      <c r="C549" s="1">
        <v>44471.368055555555</v>
      </c>
      <c r="D549" s="1">
        <v>44473</v>
      </c>
      <c r="E549" s="17">
        <f>IF(Tablo2[[#This Row],[Başlangıç]]="","",(IF(Tablo2[[#This Row],[Bitiş]]="",($G$1-Tablo2[[#This Row],[Başlangıç]])*24,(Tablo2[[#This Row],[Bitiş]]-Tablo2[[#This Row],[Başlangıç]])*24)))</f>
        <v>39.166666666686069</v>
      </c>
    </row>
    <row r="550" spans="1:5" x14ac:dyDescent="0.3">
      <c r="A550">
        <v>284</v>
      </c>
      <c r="B550" t="s">
        <v>179</v>
      </c>
      <c r="C550" s="1">
        <v>44465.40625</v>
      </c>
      <c r="D550" s="1">
        <v>44465.427083333336</v>
      </c>
      <c r="E55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51" spans="1:5" x14ac:dyDescent="0.3">
      <c r="A551">
        <v>284</v>
      </c>
      <c r="B551" t="s">
        <v>68</v>
      </c>
      <c r="C551" s="1">
        <v>44471.979166666664</v>
      </c>
      <c r="D551" s="1">
        <v>44474.323611111111</v>
      </c>
      <c r="E551" s="17">
        <f>IF(Tablo2[[#This Row],[Başlangıç]]="","",(IF(Tablo2[[#This Row],[Bitiş]]="",($G$1-Tablo2[[#This Row],[Başlangıç]])*24,(Tablo2[[#This Row],[Bitiş]]-Tablo2[[#This Row],[Başlangıç]])*24)))</f>
        <v>56.266666666720994</v>
      </c>
    </row>
    <row r="552" spans="1:5" x14ac:dyDescent="0.3">
      <c r="A552">
        <v>284</v>
      </c>
      <c r="B552" t="s">
        <v>37</v>
      </c>
      <c r="C552" s="1">
        <v>44468.368055555555</v>
      </c>
      <c r="D552" s="1">
        <v>44470.434027777781</v>
      </c>
      <c r="E552" s="17">
        <f>IF(Tablo2[[#This Row],[Başlangıç]]="","",(IF(Tablo2[[#This Row],[Bitiş]]="",($G$1-Tablo2[[#This Row],[Başlangıç]])*24,(Tablo2[[#This Row],[Bitiş]]-Tablo2[[#This Row],[Başlangıç]])*24)))</f>
        <v>49.583333333430346</v>
      </c>
    </row>
    <row r="553" spans="1:5" x14ac:dyDescent="0.3">
      <c r="A553">
        <v>284</v>
      </c>
      <c r="B553" t="s">
        <v>65</v>
      </c>
      <c r="C553" s="1">
        <v>44470.6875</v>
      </c>
      <c r="D553" s="1">
        <v>44471.326388888891</v>
      </c>
      <c r="E553" s="17">
        <f>IF(Tablo2[[#This Row],[Başlangıç]]="","",(IF(Tablo2[[#This Row],[Bitiş]]="",($G$1-Tablo2[[#This Row],[Başlangıç]])*24,(Tablo2[[#This Row],[Bitiş]]-Tablo2[[#This Row],[Başlangıç]])*24)))</f>
        <v>15.333333333372138</v>
      </c>
    </row>
    <row r="554" spans="1:5" x14ac:dyDescent="0.3">
      <c r="A554">
        <v>285</v>
      </c>
      <c r="B554" t="s">
        <v>36</v>
      </c>
      <c r="C554" s="1">
        <v>44467.760416666664</v>
      </c>
      <c r="D554" s="1">
        <v>44475.138888888891</v>
      </c>
      <c r="E554" s="17">
        <f>IF(Tablo2[[#This Row],[Başlangıç]]="","",(IF(Tablo2[[#This Row],[Bitiş]]="",($G$1-Tablo2[[#This Row],[Başlangıç]])*24,(Tablo2[[#This Row],[Bitiş]]-Tablo2[[#This Row],[Başlangıç]])*24)))</f>
        <v>177.08333333343035</v>
      </c>
    </row>
    <row r="555" spans="1:5" x14ac:dyDescent="0.3">
      <c r="A555">
        <v>285</v>
      </c>
      <c r="B555" t="s">
        <v>84</v>
      </c>
      <c r="C555" s="1">
        <v>44472.527777777781</v>
      </c>
      <c r="D555" s="1">
        <v>44473.333333333336</v>
      </c>
      <c r="E555" s="17">
        <f>IF(Tablo2[[#This Row],[Başlangıç]]="","",(IF(Tablo2[[#This Row],[Bitiş]]="",($G$1-Tablo2[[#This Row],[Başlangıç]])*24,(Tablo2[[#This Row],[Bitiş]]-Tablo2[[#This Row],[Başlangıç]])*24)))</f>
        <v>19.333333333313931</v>
      </c>
    </row>
    <row r="556" spans="1:5" x14ac:dyDescent="0.3">
      <c r="A556">
        <v>285</v>
      </c>
      <c r="B556" t="s">
        <v>179</v>
      </c>
      <c r="C556" s="1">
        <v>44467.760416666664</v>
      </c>
      <c r="D556" s="1">
        <v>44467.78125</v>
      </c>
      <c r="E5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57" spans="1:5" x14ac:dyDescent="0.3">
      <c r="A557">
        <v>285</v>
      </c>
      <c r="B557" t="s">
        <v>68</v>
      </c>
      <c r="C557" s="1">
        <v>44472.791666666664</v>
      </c>
      <c r="D557" s="1">
        <v>44473.701388888891</v>
      </c>
      <c r="E557" s="17">
        <f>IF(Tablo2[[#This Row],[Başlangıç]]="","",(IF(Tablo2[[#This Row],[Bitiş]]="",($G$1-Tablo2[[#This Row],[Başlangıç]])*24,(Tablo2[[#This Row],[Bitiş]]-Tablo2[[#This Row],[Başlangıç]])*24)))</f>
        <v>21.833333333430346</v>
      </c>
    </row>
    <row r="558" spans="1:5" x14ac:dyDescent="0.3">
      <c r="A558">
        <v>285</v>
      </c>
      <c r="B558" t="s">
        <v>37</v>
      </c>
      <c r="C558" s="1">
        <v>44469.279166666667</v>
      </c>
      <c r="D558" s="1">
        <v>44472.872916666667</v>
      </c>
      <c r="E558" s="17">
        <f>IF(Tablo2[[#This Row],[Başlangıç]]="","",(IF(Tablo2[[#This Row],[Bitiş]]="",($G$1-Tablo2[[#This Row],[Başlangıç]])*24,(Tablo2[[#This Row],[Bitiş]]-Tablo2[[#This Row],[Başlangıç]])*24)))</f>
        <v>86.25</v>
      </c>
    </row>
    <row r="559" spans="1:5" x14ac:dyDescent="0.3">
      <c r="A559">
        <v>285</v>
      </c>
      <c r="B559" t="s">
        <v>65</v>
      </c>
      <c r="C559" s="1">
        <v>44472.010416666664</v>
      </c>
      <c r="D559" s="1">
        <v>44472.5</v>
      </c>
      <c r="E559" s="17">
        <f>IF(Tablo2[[#This Row],[Başlangıç]]="","",(IF(Tablo2[[#This Row],[Bitiş]]="",($G$1-Tablo2[[#This Row],[Başlangıç]])*24,(Tablo2[[#This Row],[Bitiş]]-Tablo2[[#This Row],[Başlangıç]])*24)))</f>
        <v>11.750000000058208</v>
      </c>
    </row>
    <row r="560" spans="1:5" x14ac:dyDescent="0.3">
      <c r="A560">
        <v>286</v>
      </c>
      <c r="B560" t="s">
        <v>36</v>
      </c>
      <c r="C560" s="1">
        <v>44468.208333333336</v>
      </c>
      <c r="D560" s="1">
        <v>44475.5</v>
      </c>
      <c r="E560" s="17">
        <f>IF(Tablo2[[#This Row],[Başlangıç]]="","",(IF(Tablo2[[#This Row],[Bitiş]]="",($G$1-Tablo2[[#This Row],[Başlangıç]])*24,(Tablo2[[#This Row],[Bitiş]]-Tablo2[[#This Row],[Başlangıç]])*24)))</f>
        <v>174.99999999994179</v>
      </c>
    </row>
    <row r="561" spans="1:5" x14ac:dyDescent="0.3">
      <c r="A561">
        <v>286</v>
      </c>
      <c r="B561" t="s">
        <v>84</v>
      </c>
      <c r="C561" s="1">
        <v>44477.395833333336</v>
      </c>
      <c r="D561" s="1">
        <v>44478.333333333336</v>
      </c>
      <c r="E561" s="17">
        <f>IF(Tablo2[[#This Row],[Başlangıç]]="","",(IF(Tablo2[[#This Row],[Bitiş]]="",($G$1-Tablo2[[#This Row],[Başlangıç]])*24,(Tablo2[[#This Row],[Bitiş]]-Tablo2[[#This Row],[Başlangıç]])*24)))</f>
        <v>22.5</v>
      </c>
    </row>
    <row r="562" spans="1:5" x14ac:dyDescent="0.3">
      <c r="A562">
        <v>286</v>
      </c>
      <c r="B562" t="s">
        <v>179</v>
      </c>
      <c r="C562" s="1">
        <v>44468.208333333336</v>
      </c>
      <c r="D562" s="1">
        <v>44468.229166666664</v>
      </c>
      <c r="E56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63" spans="1:5" x14ac:dyDescent="0.3">
      <c r="A563">
        <v>286</v>
      </c>
      <c r="B563" t="s">
        <v>68</v>
      </c>
      <c r="C563" s="1">
        <v>44477.6875</v>
      </c>
      <c r="D563" s="1">
        <v>44478.6875</v>
      </c>
      <c r="E563" s="17">
        <f>IF(Tablo2[[#This Row],[Başlangıç]]="","",(IF(Tablo2[[#This Row],[Bitiş]]="",($G$1-Tablo2[[#This Row],[Başlangıç]])*24,(Tablo2[[#This Row],[Bitiş]]-Tablo2[[#This Row],[Başlangıç]])*24)))</f>
        <v>24</v>
      </c>
    </row>
    <row r="564" spans="1:5" x14ac:dyDescent="0.3">
      <c r="A564">
        <v>286</v>
      </c>
      <c r="B564" t="s">
        <v>37</v>
      </c>
      <c r="C564" s="1">
        <v>44468.881944444445</v>
      </c>
      <c r="D564" s="1">
        <v>80999.638888888891</v>
      </c>
      <c r="E564" s="17">
        <f>IF(Tablo2[[#This Row],[Başlangıç]]="","",(IF(Tablo2[[#This Row],[Bitiş]]="",($G$1-Tablo2[[#This Row],[Başlangıç]])*24,(Tablo2[[#This Row],[Bitiş]]-Tablo2[[#This Row],[Başlangıç]])*24)))</f>
        <v>876738.16666666674</v>
      </c>
    </row>
    <row r="565" spans="1:5" x14ac:dyDescent="0.3">
      <c r="A565">
        <v>286</v>
      </c>
      <c r="B565" t="s">
        <v>65</v>
      </c>
      <c r="C565" s="1">
        <v>44477.006944444445</v>
      </c>
      <c r="D565" s="1">
        <v>44477.354166666664</v>
      </c>
      <c r="E565" s="17">
        <f>IF(Tablo2[[#This Row],[Başlangıç]]="","",(IF(Tablo2[[#This Row],[Bitiş]]="",($G$1-Tablo2[[#This Row],[Başlangıç]])*24,(Tablo2[[#This Row],[Bitiş]]-Tablo2[[#This Row],[Başlangıç]])*24)))</f>
        <v>8.3333333332557231</v>
      </c>
    </row>
    <row r="566" spans="1:5" x14ac:dyDescent="0.3">
      <c r="A566">
        <v>288</v>
      </c>
      <c r="B566" t="s">
        <v>36</v>
      </c>
      <c r="C566" s="1">
        <v>44469.208333333336</v>
      </c>
      <c r="D566" s="1">
        <v>44475.013888888891</v>
      </c>
      <c r="E566" s="17">
        <f>IF(Tablo2[[#This Row],[Başlangıç]]="","",(IF(Tablo2[[#This Row],[Bitiş]]="",($G$1-Tablo2[[#This Row],[Başlangıç]])*24,(Tablo2[[#This Row],[Bitiş]]-Tablo2[[#This Row],[Başlangıç]])*24)))</f>
        <v>139.33333333331393</v>
      </c>
    </row>
    <row r="567" spans="1:5" x14ac:dyDescent="0.3">
      <c r="A567">
        <v>288</v>
      </c>
      <c r="B567" t="s">
        <v>84</v>
      </c>
      <c r="C567" s="1">
        <v>44474.0625</v>
      </c>
      <c r="D567" s="1">
        <v>44475.138888888891</v>
      </c>
      <c r="E567" s="17">
        <f>IF(Tablo2[[#This Row],[Başlangıç]]="","",(IF(Tablo2[[#This Row],[Bitiş]]="",($G$1-Tablo2[[#This Row],[Başlangıç]])*24,(Tablo2[[#This Row],[Bitiş]]-Tablo2[[#This Row],[Başlangıç]])*24)))</f>
        <v>25.833333333372138</v>
      </c>
    </row>
    <row r="568" spans="1:5" x14ac:dyDescent="0.3">
      <c r="A568">
        <v>288</v>
      </c>
      <c r="B568" t="s">
        <v>179</v>
      </c>
      <c r="C568" s="1">
        <v>44469.208333333336</v>
      </c>
      <c r="D568" s="1">
        <v>44469.229166666664</v>
      </c>
      <c r="E56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69" spans="1:5" x14ac:dyDescent="0.3">
      <c r="A569">
        <v>288</v>
      </c>
      <c r="B569" t="s">
        <v>68</v>
      </c>
      <c r="C569" s="1">
        <v>44474.770833333336</v>
      </c>
      <c r="D569" s="1">
        <v>44475.208333333336</v>
      </c>
      <c r="E569" s="17">
        <f>IF(Tablo2[[#This Row],[Başlangıç]]="","",(IF(Tablo2[[#This Row],[Bitiş]]="",($G$1-Tablo2[[#This Row],[Başlangıç]])*24,(Tablo2[[#This Row],[Bitiş]]-Tablo2[[#This Row],[Başlangıç]])*24)))</f>
        <v>10.5</v>
      </c>
    </row>
    <row r="570" spans="1:5" x14ac:dyDescent="0.3">
      <c r="A570">
        <v>288</v>
      </c>
      <c r="B570" t="s">
        <v>37</v>
      </c>
      <c r="C570" s="1">
        <v>44471.034722222219</v>
      </c>
      <c r="D570" s="1">
        <v>44475.201388888891</v>
      </c>
      <c r="E570" s="17">
        <f>IF(Tablo2[[#This Row],[Başlangıç]]="","",(IF(Tablo2[[#This Row],[Bitiş]]="",($G$1-Tablo2[[#This Row],[Başlangıç]])*24,(Tablo2[[#This Row],[Bitiş]]-Tablo2[[#This Row],[Başlangıç]])*24)))</f>
        <v>100.00000000011642</v>
      </c>
    </row>
    <row r="571" spans="1:5" x14ac:dyDescent="0.3">
      <c r="A571">
        <v>288</v>
      </c>
      <c r="B571" t="s">
        <v>65</v>
      </c>
      <c r="C571" s="1">
        <v>44475.017361111109</v>
      </c>
      <c r="D571" s="1">
        <v>44475.222222222219</v>
      </c>
      <c r="E571" s="17">
        <f>IF(Tablo2[[#This Row],[Başlangıç]]="","",(IF(Tablo2[[#This Row],[Bitiş]]="",($G$1-Tablo2[[#This Row],[Başlangıç]])*24,(Tablo2[[#This Row],[Bitiş]]-Tablo2[[#This Row],[Başlangıç]])*24)))</f>
        <v>4.9166666666278616</v>
      </c>
    </row>
    <row r="572" spans="1:5" x14ac:dyDescent="0.3">
      <c r="A572">
        <v>289</v>
      </c>
      <c r="B572" t="s">
        <v>36</v>
      </c>
      <c r="C572" s="1">
        <v>44470</v>
      </c>
      <c r="D572" s="1">
        <v>44472.375</v>
      </c>
      <c r="E572" s="17">
        <f>IF(Tablo2[[#This Row],[Başlangıç]]="","",(IF(Tablo2[[#This Row],[Bitiş]]="",($G$1-Tablo2[[#This Row],[Başlangıç]])*24,(Tablo2[[#This Row],[Bitiş]]-Tablo2[[#This Row],[Başlangıç]])*24)))</f>
        <v>57</v>
      </c>
    </row>
    <row r="573" spans="1:5" x14ac:dyDescent="0.3">
      <c r="A573">
        <v>289</v>
      </c>
      <c r="B573" t="s">
        <v>84</v>
      </c>
      <c r="C573" s="1">
        <v>44470.888888888891</v>
      </c>
      <c r="D573" s="1">
        <v>44476.0625</v>
      </c>
      <c r="E573" s="17">
        <f>IF(Tablo2[[#This Row],[Başlangıç]]="","",(IF(Tablo2[[#This Row],[Bitiş]]="",($G$1-Tablo2[[#This Row],[Başlangıç]])*24,(Tablo2[[#This Row],[Bitiş]]-Tablo2[[#This Row],[Başlangıç]])*24)))</f>
        <v>124.16666666662786</v>
      </c>
    </row>
    <row r="574" spans="1:5" x14ac:dyDescent="0.3">
      <c r="A574">
        <v>289</v>
      </c>
      <c r="B574" t="s">
        <v>179</v>
      </c>
      <c r="C574" s="1">
        <v>44470</v>
      </c>
      <c r="D574" s="1">
        <v>44470.020833333336</v>
      </c>
      <c r="E5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75" spans="1:5" x14ac:dyDescent="0.3">
      <c r="A575">
        <v>289</v>
      </c>
      <c r="B575" t="s">
        <v>68</v>
      </c>
      <c r="C575" s="1">
        <v>44475.673611111109</v>
      </c>
      <c r="D575" s="1">
        <v>44477.319444444445</v>
      </c>
      <c r="E575" s="17">
        <f>IF(Tablo2[[#This Row],[Başlangıç]]="","",(IF(Tablo2[[#This Row],[Bitiş]]="",($G$1-Tablo2[[#This Row],[Başlangıç]])*24,(Tablo2[[#This Row],[Bitiş]]-Tablo2[[#This Row],[Başlangıç]])*24)))</f>
        <v>39.500000000058208</v>
      </c>
    </row>
    <row r="576" spans="1:5" x14ac:dyDescent="0.3">
      <c r="A576">
        <v>289</v>
      </c>
      <c r="B576" t="s">
        <v>37</v>
      </c>
      <c r="C576" s="1">
        <v>44470.375</v>
      </c>
      <c r="D576" s="1">
        <v>44474.649305555555</v>
      </c>
      <c r="E576" s="17">
        <f>IF(Tablo2[[#This Row],[Başlangıç]]="","",(IF(Tablo2[[#This Row],[Bitiş]]="",($G$1-Tablo2[[#This Row],[Başlangıç]])*24,(Tablo2[[#This Row],[Bitiş]]-Tablo2[[#This Row],[Başlangıç]])*24)))</f>
        <v>102.58333333331393</v>
      </c>
    </row>
    <row r="577" spans="1:5" x14ac:dyDescent="0.3">
      <c r="A577">
        <v>289</v>
      </c>
      <c r="B577" t="s">
        <v>65</v>
      </c>
      <c r="C577" s="1">
        <v>44474.680555555555</v>
      </c>
      <c r="D577" s="1">
        <v>44475.385416666664</v>
      </c>
      <c r="E577" s="17">
        <f>IF(Tablo2[[#This Row],[Başlangıç]]="","",(IF(Tablo2[[#This Row],[Bitiş]]="",($G$1-Tablo2[[#This Row],[Başlangıç]])*24,(Tablo2[[#This Row],[Bitiş]]-Tablo2[[#This Row],[Başlangıç]])*24)))</f>
        <v>16.916666666627862</v>
      </c>
    </row>
    <row r="578" spans="1:5" x14ac:dyDescent="0.3">
      <c r="A578">
        <v>291</v>
      </c>
      <c r="B578" t="s">
        <v>36</v>
      </c>
      <c r="C578" s="1">
        <v>44471.510416666664</v>
      </c>
      <c r="D578" s="1">
        <v>44477.055555555555</v>
      </c>
      <c r="E578" s="17">
        <f>IF(Tablo2[[#This Row],[Başlangıç]]="","",(IF(Tablo2[[#This Row],[Bitiş]]="",($G$1-Tablo2[[#This Row],[Başlangıç]])*24,(Tablo2[[#This Row],[Bitiş]]-Tablo2[[#This Row],[Başlangıç]])*24)))</f>
        <v>133.08333333337214</v>
      </c>
    </row>
    <row r="579" spans="1:5" x14ac:dyDescent="0.3">
      <c r="A579">
        <v>291</v>
      </c>
      <c r="B579" t="s">
        <v>84</v>
      </c>
      <c r="C579" s="1">
        <v>44478.878472222219</v>
      </c>
      <c r="D579" s="1">
        <v>44480.333333333336</v>
      </c>
      <c r="E579" s="17">
        <f>IF(Tablo2[[#This Row],[Başlangıç]]="","",(IF(Tablo2[[#This Row],[Bitiş]]="",($G$1-Tablo2[[#This Row],[Başlangıç]])*24,(Tablo2[[#This Row],[Bitiş]]-Tablo2[[#This Row],[Başlangıç]])*24)))</f>
        <v>34.916666666802485</v>
      </c>
    </row>
    <row r="580" spans="1:5" x14ac:dyDescent="0.3">
      <c r="A580">
        <v>291</v>
      </c>
      <c r="B580" t="s">
        <v>179</v>
      </c>
      <c r="C580" s="1">
        <v>44471.510416666664</v>
      </c>
      <c r="D580" s="1">
        <v>44471.53125</v>
      </c>
      <c r="E5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581" spans="1:5" x14ac:dyDescent="0.3">
      <c r="A581">
        <v>291</v>
      </c>
      <c r="B581" t="s">
        <v>68</v>
      </c>
      <c r="C581" s="1">
        <v>44479.298611111109</v>
      </c>
      <c r="D581" s="1">
        <v>44480.611111111109</v>
      </c>
      <c r="E581" s="17">
        <f>IF(Tablo2[[#This Row],[Başlangıç]]="","",(IF(Tablo2[[#This Row],[Bitiş]]="",($G$1-Tablo2[[#This Row],[Başlangıç]])*24,(Tablo2[[#This Row],[Bitiş]]-Tablo2[[#This Row],[Başlangıç]])*24)))</f>
        <v>31.5</v>
      </c>
    </row>
    <row r="582" spans="1:5" x14ac:dyDescent="0.3">
      <c r="A582">
        <v>291</v>
      </c>
      <c r="B582" t="s">
        <v>37</v>
      </c>
      <c r="C582" s="1">
        <v>44471.75277777778</v>
      </c>
      <c r="D582" s="1">
        <v>44477.090277777781</v>
      </c>
      <c r="E582" s="17">
        <f>IF(Tablo2[[#This Row],[Başlangıç]]="","",(IF(Tablo2[[#This Row],[Bitiş]]="",($G$1-Tablo2[[#This Row],[Başlangıç]])*24,(Tablo2[[#This Row],[Bitiş]]-Tablo2[[#This Row],[Başlangıç]])*24)))</f>
        <v>128.10000000003492</v>
      </c>
    </row>
    <row r="583" spans="1:5" x14ac:dyDescent="0.3">
      <c r="A583">
        <v>291</v>
      </c>
      <c r="B583" t="s">
        <v>65</v>
      </c>
      <c r="C583" s="1">
        <v>44478.410416666666</v>
      </c>
      <c r="D583" s="1">
        <v>44478.791666666664</v>
      </c>
      <c r="E583" s="17">
        <f>IF(Tablo2[[#This Row],[Başlangıç]]="","",(IF(Tablo2[[#This Row],[Bitiş]]="",($G$1-Tablo2[[#This Row],[Başlangıç]])*24,(Tablo2[[#This Row],[Bitiş]]-Tablo2[[#This Row],[Başlangıç]])*24)))</f>
        <v>9.1499999999650754</v>
      </c>
    </row>
    <row r="584" spans="1:5" x14ac:dyDescent="0.3">
      <c r="A584">
        <v>292</v>
      </c>
      <c r="B584" t="s">
        <v>36</v>
      </c>
      <c r="C584" s="1">
        <v>44471.427083333336</v>
      </c>
      <c r="D584" s="1">
        <v>44476.916666666664</v>
      </c>
      <c r="E584" s="17">
        <f>IF(Tablo2[[#This Row],[Başlangıç]]="","",(IF(Tablo2[[#This Row],[Bitiş]]="",($G$1-Tablo2[[#This Row],[Başlangıç]])*24,(Tablo2[[#This Row],[Bitiş]]-Tablo2[[#This Row],[Başlangıç]])*24)))</f>
        <v>131.74999999988358</v>
      </c>
    </row>
    <row r="585" spans="1:5" x14ac:dyDescent="0.3">
      <c r="A585">
        <v>292</v>
      </c>
      <c r="B585" t="s">
        <v>84</v>
      </c>
      <c r="C585" s="1">
        <v>44475.9375</v>
      </c>
      <c r="D585" s="1">
        <v>44476.208333333336</v>
      </c>
      <c r="E585" s="17">
        <f>IF(Tablo2[[#This Row],[Başlangıç]]="","",(IF(Tablo2[[#This Row],[Bitiş]]="",($G$1-Tablo2[[#This Row],[Başlangıç]])*24,(Tablo2[[#This Row],[Bitiş]]-Tablo2[[#This Row],[Başlangıç]])*24)))</f>
        <v>6.5000000000582077</v>
      </c>
    </row>
    <row r="586" spans="1:5" x14ac:dyDescent="0.3">
      <c r="A586">
        <v>292</v>
      </c>
      <c r="B586" t="s">
        <v>179</v>
      </c>
      <c r="C586" s="1">
        <v>44471.427083333336</v>
      </c>
      <c r="D586" s="1">
        <v>44471.447916666664</v>
      </c>
      <c r="E58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587" spans="1:5" x14ac:dyDescent="0.3">
      <c r="A587">
        <v>292</v>
      </c>
      <c r="B587" t="s">
        <v>68</v>
      </c>
      <c r="C587" s="1">
        <v>44476.208333333336</v>
      </c>
      <c r="D587" s="1">
        <v>44841.333333333336</v>
      </c>
      <c r="E587" s="17">
        <f>IF(Tablo2[[#This Row],[Başlangıç]]="","",(IF(Tablo2[[#This Row],[Bitiş]]="",($G$1-Tablo2[[#This Row],[Başlangıç]])*24,(Tablo2[[#This Row],[Bitiş]]-Tablo2[[#This Row],[Başlangıç]])*24)))</f>
        <v>8763</v>
      </c>
    </row>
    <row r="588" spans="1:5" x14ac:dyDescent="0.3">
      <c r="A588">
        <v>292</v>
      </c>
      <c r="B588" t="s">
        <v>37</v>
      </c>
      <c r="C588" s="1">
        <v>44473.6875</v>
      </c>
      <c r="D588" s="1">
        <v>44475.597222222219</v>
      </c>
      <c r="E588" s="17">
        <f>IF(Tablo2[[#This Row],[Başlangıç]]="","",(IF(Tablo2[[#This Row],[Bitiş]]="",($G$1-Tablo2[[#This Row],[Başlangıç]])*24,(Tablo2[[#This Row],[Bitiş]]-Tablo2[[#This Row],[Başlangıç]])*24)))</f>
        <v>45.833333333255723</v>
      </c>
    </row>
    <row r="589" spans="1:5" x14ac:dyDescent="0.3">
      <c r="A589">
        <v>292</v>
      </c>
      <c r="B589" t="s">
        <v>65</v>
      </c>
      <c r="C589" s="1">
        <v>44474.958333333336</v>
      </c>
      <c r="D589" s="1">
        <v>44475.927083333336</v>
      </c>
      <c r="E589" s="17">
        <f>IF(Tablo2[[#This Row],[Başlangıç]]="","",(IF(Tablo2[[#This Row],[Bitiş]]="",($G$1-Tablo2[[#This Row],[Başlangıç]])*24,(Tablo2[[#This Row],[Bitiş]]-Tablo2[[#This Row],[Başlangıç]])*24)))</f>
        <v>23.25</v>
      </c>
    </row>
    <row r="590" spans="1:5" x14ac:dyDescent="0.3">
      <c r="A590">
        <v>295</v>
      </c>
      <c r="B590" t="s">
        <v>36</v>
      </c>
      <c r="C590" s="1">
        <v>44474.166666666664</v>
      </c>
      <c r="D590" s="1">
        <v>44477.666666666664</v>
      </c>
      <c r="E590" s="17">
        <f>IF(Tablo2[[#This Row],[Başlangıç]]="","",(IF(Tablo2[[#This Row],[Bitiş]]="",($G$1-Tablo2[[#This Row],[Başlangıç]])*24,(Tablo2[[#This Row],[Bitiş]]-Tablo2[[#This Row],[Başlangıç]])*24)))</f>
        <v>84</v>
      </c>
    </row>
    <row r="591" spans="1:5" x14ac:dyDescent="0.3">
      <c r="A591">
        <v>295</v>
      </c>
      <c r="B591" t="s">
        <v>84</v>
      </c>
      <c r="C591" s="1">
        <v>44478</v>
      </c>
      <c r="D591" s="1">
        <v>44481.684027777781</v>
      </c>
      <c r="E591" s="17">
        <f>IF(Tablo2[[#This Row],[Başlangıç]]="","",(IF(Tablo2[[#This Row],[Bitiş]]="",($G$1-Tablo2[[#This Row],[Başlangıç]])*24,(Tablo2[[#This Row],[Bitiş]]-Tablo2[[#This Row],[Başlangıç]])*24)))</f>
        <v>88.416666666744277</v>
      </c>
    </row>
    <row r="592" spans="1:5" x14ac:dyDescent="0.3">
      <c r="A592">
        <v>295</v>
      </c>
      <c r="B592" t="s">
        <v>179</v>
      </c>
      <c r="C592" s="1">
        <v>44474.166666666664</v>
      </c>
      <c r="D592" s="1">
        <v>44474.166666666664</v>
      </c>
      <c r="E592" s="17">
        <f>IF(Tablo2[[#This Row],[Başlangıç]]="","",(IF(Tablo2[[#This Row],[Bitiş]]="",($G$1-Tablo2[[#This Row],[Başlangıç]])*24,(Tablo2[[#This Row],[Bitiş]]-Tablo2[[#This Row],[Başlangıç]])*24)))</f>
        <v>0</v>
      </c>
    </row>
    <row r="593" spans="1:5" x14ac:dyDescent="0.3">
      <c r="A593">
        <v>295</v>
      </c>
      <c r="B593" t="s">
        <v>68</v>
      </c>
      <c r="C593" s="1">
        <v>44479.854166666664</v>
      </c>
      <c r="D593" s="1">
        <v>44481.80972222222</v>
      </c>
      <c r="E593" s="17">
        <f>IF(Tablo2[[#This Row],[Başlangıç]]="","",(IF(Tablo2[[#This Row],[Bitiş]]="",($G$1-Tablo2[[#This Row],[Başlangıç]])*24,(Tablo2[[#This Row],[Bitiş]]-Tablo2[[#This Row],[Başlangıç]])*24)))</f>
        <v>46.933333333348855</v>
      </c>
    </row>
    <row r="594" spans="1:5" x14ac:dyDescent="0.3">
      <c r="A594">
        <v>295</v>
      </c>
      <c r="B594" t="s">
        <v>37</v>
      </c>
      <c r="C594" s="1">
        <v>44475.076388888891</v>
      </c>
      <c r="D594" s="1">
        <v>44477.302083333336</v>
      </c>
      <c r="E594" s="17">
        <f>IF(Tablo2[[#This Row],[Başlangıç]]="","",(IF(Tablo2[[#This Row],[Bitiş]]="",($G$1-Tablo2[[#This Row],[Başlangıç]])*24,(Tablo2[[#This Row],[Bitiş]]-Tablo2[[#This Row],[Başlangıç]])*24)))</f>
        <v>53.416666666686069</v>
      </c>
    </row>
    <row r="595" spans="1:5" x14ac:dyDescent="0.3">
      <c r="A595">
        <v>295</v>
      </c>
      <c r="B595" t="s">
        <v>65</v>
      </c>
      <c r="C595" s="1">
        <v>44477.375</v>
      </c>
      <c r="D595" s="1">
        <v>44478</v>
      </c>
      <c r="E595" s="17">
        <f>IF(Tablo2[[#This Row],[Başlangıç]]="","",(IF(Tablo2[[#This Row],[Bitiş]]="",($G$1-Tablo2[[#This Row],[Başlangıç]])*24,(Tablo2[[#This Row],[Bitiş]]-Tablo2[[#This Row],[Başlangıç]])*24)))</f>
        <v>15</v>
      </c>
    </row>
    <row r="596" spans="1:5" x14ac:dyDescent="0.3">
      <c r="A596">
        <v>298</v>
      </c>
      <c r="B596" t="s">
        <v>36</v>
      </c>
      <c r="C596" s="1">
        <v>44475.520833333336</v>
      </c>
      <c r="D596" s="1">
        <v>44477.875</v>
      </c>
      <c r="E596" s="17">
        <f>IF(Tablo2[[#This Row],[Başlangıç]]="","",(IF(Tablo2[[#This Row],[Bitiş]]="",($G$1-Tablo2[[#This Row],[Başlangıç]])*24,(Tablo2[[#This Row],[Bitiş]]-Tablo2[[#This Row],[Başlangıç]])*24)))</f>
        <v>56.499999999941792</v>
      </c>
    </row>
    <row r="597" spans="1:5" x14ac:dyDescent="0.3">
      <c r="A597">
        <v>298</v>
      </c>
      <c r="B597" t="s">
        <v>84</v>
      </c>
      <c r="C597" s="1">
        <v>44479.25</v>
      </c>
      <c r="D597" s="1">
        <v>44480.75</v>
      </c>
      <c r="E597" s="17">
        <f>IF(Tablo2[[#This Row],[Başlangıç]]="","",(IF(Tablo2[[#This Row],[Bitiş]]="",($G$1-Tablo2[[#This Row],[Başlangıç]])*24,(Tablo2[[#This Row],[Bitiş]]-Tablo2[[#This Row],[Başlangıç]])*24)))</f>
        <v>36</v>
      </c>
    </row>
    <row r="598" spans="1:5" x14ac:dyDescent="0.3">
      <c r="A598">
        <v>298</v>
      </c>
      <c r="B598" t="s">
        <v>179</v>
      </c>
      <c r="C598" s="1">
        <v>44475.520833333336</v>
      </c>
      <c r="D598" s="1">
        <v>44475.520833333336</v>
      </c>
      <c r="E598" s="17">
        <f>IF(Tablo2[[#This Row],[Başlangıç]]="","",(IF(Tablo2[[#This Row],[Bitiş]]="",($G$1-Tablo2[[#This Row],[Başlangıç]])*24,(Tablo2[[#This Row],[Bitiş]]-Tablo2[[#This Row],[Başlangıç]])*24)))</f>
        <v>0</v>
      </c>
    </row>
    <row r="599" spans="1:5" x14ac:dyDescent="0.3">
      <c r="A599">
        <v>298</v>
      </c>
      <c r="B599" t="s">
        <v>68</v>
      </c>
      <c r="C599" s="1">
        <v>44479.650694444441</v>
      </c>
      <c r="D599" s="1">
        <v>44480.864583333336</v>
      </c>
      <c r="E599" s="17">
        <f>IF(Tablo2[[#This Row],[Başlangıç]]="","",(IF(Tablo2[[#This Row],[Bitiş]]="",($G$1-Tablo2[[#This Row],[Başlangıç]])*24,(Tablo2[[#This Row],[Bitiş]]-Tablo2[[#This Row],[Başlangıç]])*24)))</f>
        <v>29.133333333476912</v>
      </c>
    </row>
    <row r="600" spans="1:5" x14ac:dyDescent="0.3">
      <c r="A600">
        <v>298</v>
      </c>
      <c r="B600" t="s">
        <v>37</v>
      </c>
      <c r="C600" s="1">
        <v>44476.75</v>
      </c>
      <c r="D600" s="1">
        <v>44479.149305555555</v>
      </c>
      <c r="E600" s="17">
        <f>IF(Tablo2[[#This Row],[Başlangıç]]="","",(IF(Tablo2[[#This Row],[Bitiş]]="",($G$1-Tablo2[[#This Row],[Başlangıç]])*24,(Tablo2[[#This Row],[Bitiş]]-Tablo2[[#This Row],[Başlangıç]])*24)))</f>
        <v>57.583333333313931</v>
      </c>
    </row>
    <row r="601" spans="1:5" x14ac:dyDescent="0.3">
      <c r="A601">
        <v>298</v>
      </c>
      <c r="B601" t="s">
        <v>65</v>
      </c>
      <c r="C601" s="1">
        <v>44478.583333333336</v>
      </c>
      <c r="D601" s="1">
        <v>44479.229166666664</v>
      </c>
      <c r="E601" s="17">
        <f>IF(Tablo2[[#This Row],[Başlangıç]]="","",(IF(Tablo2[[#This Row],[Bitiş]]="",($G$1-Tablo2[[#This Row],[Başlangıç]])*24,(Tablo2[[#This Row],[Bitiş]]-Tablo2[[#This Row],[Başlangıç]])*24)))</f>
        <v>15.499999999883585</v>
      </c>
    </row>
    <row r="602" spans="1:5" x14ac:dyDescent="0.3">
      <c r="A602">
        <v>300</v>
      </c>
      <c r="B602" t="s">
        <v>36</v>
      </c>
      <c r="C602" s="1">
        <v>44475.416666666664</v>
      </c>
      <c r="D602" s="1">
        <v>44480.784722222219</v>
      </c>
      <c r="E602" s="17">
        <f>IF(Tablo2[[#This Row],[Başlangıç]]="","",(IF(Tablo2[[#This Row],[Bitiş]]="",($G$1-Tablo2[[#This Row],[Başlangıç]])*24,(Tablo2[[#This Row],[Bitiş]]-Tablo2[[#This Row],[Başlangıç]])*24)))</f>
        <v>128.83333333331393</v>
      </c>
    </row>
    <row r="603" spans="1:5" x14ac:dyDescent="0.3">
      <c r="A603">
        <v>300</v>
      </c>
      <c r="B603" t="s">
        <v>84</v>
      </c>
      <c r="C603" s="1">
        <v>44482.527777777781</v>
      </c>
      <c r="D603" s="1">
        <v>44484.625</v>
      </c>
      <c r="E603" s="17">
        <f>IF(Tablo2[[#This Row],[Başlangıç]]="","",(IF(Tablo2[[#This Row],[Bitiş]]="",($G$1-Tablo2[[#This Row],[Başlangıç]])*24,(Tablo2[[#This Row],[Bitiş]]-Tablo2[[#This Row],[Başlangıç]])*24)))</f>
        <v>50.333333333255723</v>
      </c>
    </row>
    <row r="604" spans="1:5" x14ac:dyDescent="0.3">
      <c r="A604">
        <v>300</v>
      </c>
      <c r="B604" t="s">
        <v>179</v>
      </c>
      <c r="C604" s="1">
        <v>44475.416666666664</v>
      </c>
      <c r="D604" s="1">
        <v>44475.4375</v>
      </c>
      <c r="E6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05" spans="1:5" x14ac:dyDescent="0.3">
      <c r="A605">
        <v>300</v>
      </c>
      <c r="B605" t="s">
        <v>68</v>
      </c>
      <c r="C605" s="1">
        <v>44483.0625</v>
      </c>
      <c r="D605" s="1">
        <v>44484.875</v>
      </c>
      <c r="E605" s="17">
        <f>IF(Tablo2[[#This Row],[Başlangıç]]="","",(IF(Tablo2[[#This Row],[Bitiş]]="",($G$1-Tablo2[[#This Row],[Başlangıç]])*24,(Tablo2[[#This Row],[Bitiş]]-Tablo2[[#This Row],[Başlangıç]])*24)))</f>
        <v>43.5</v>
      </c>
    </row>
    <row r="606" spans="1:5" x14ac:dyDescent="0.3">
      <c r="A606">
        <v>300</v>
      </c>
      <c r="B606" t="s">
        <v>37</v>
      </c>
      <c r="C606" s="1">
        <v>44478.361111111109</v>
      </c>
      <c r="D606" s="1">
        <v>44481.5</v>
      </c>
      <c r="E606" s="17">
        <f>IF(Tablo2[[#This Row],[Başlangıç]]="","",(IF(Tablo2[[#This Row],[Bitiş]]="",($G$1-Tablo2[[#This Row],[Başlangıç]])*24,(Tablo2[[#This Row],[Bitiş]]-Tablo2[[#This Row],[Başlangıç]])*24)))</f>
        <v>75.333333333372138</v>
      </c>
    </row>
    <row r="607" spans="1:5" x14ac:dyDescent="0.3">
      <c r="A607">
        <v>300</v>
      </c>
      <c r="B607" t="s">
        <v>65</v>
      </c>
      <c r="C607" s="1">
        <v>44481.527777777781</v>
      </c>
      <c r="D607" s="1">
        <v>44482.317361111112</v>
      </c>
      <c r="E607" s="17">
        <f>IF(Tablo2[[#This Row],[Başlangıç]]="","",(IF(Tablo2[[#This Row],[Bitiş]]="",($G$1-Tablo2[[#This Row],[Başlangıç]])*24,(Tablo2[[#This Row],[Bitiş]]-Tablo2[[#This Row],[Başlangıç]])*24)))</f>
        <v>18.949999999953434</v>
      </c>
    </row>
    <row r="608" spans="1:5" x14ac:dyDescent="0.3">
      <c r="A608">
        <v>301</v>
      </c>
      <c r="B608" t="s">
        <v>36</v>
      </c>
      <c r="C608" s="1">
        <v>44476.6875</v>
      </c>
      <c r="D608" s="1">
        <v>44478.833333333336</v>
      </c>
      <c r="E608" s="17">
        <f>IF(Tablo2[[#This Row],[Başlangıç]]="","",(IF(Tablo2[[#This Row],[Bitiş]]="",($G$1-Tablo2[[#This Row],[Başlangıç]])*24,(Tablo2[[#This Row],[Bitiş]]-Tablo2[[#This Row],[Başlangıç]])*24)))</f>
        <v>51.500000000058208</v>
      </c>
    </row>
    <row r="609" spans="1:5" x14ac:dyDescent="0.3">
      <c r="A609">
        <v>301</v>
      </c>
      <c r="B609" t="s">
        <v>84</v>
      </c>
      <c r="C609" s="1">
        <v>44481.604166666664</v>
      </c>
      <c r="D609" s="1">
        <v>44482.290277777778</v>
      </c>
      <c r="E609" s="17">
        <f>IF(Tablo2[[#This Row],[Başlangıç]]="","",(IF(Tablo2[[#This Row],[Bitiş]]="",($G$1-Tablo2[[#This Row],[Başlangıç]])*24,(Tablo2[[#This Row],[Bitiş]]-Tablo2[[#This Row],[Başlangıç]])*24)))</f>
        <v>16.466666666732635</v>
      </c>
    </row>
    <row r="610" spans="1:5" x14ac:dyDescent="0.3">
      <c r="A610">
        <v>301</v>
      </c>
      <c r="B610" t="s">
        <v>179</v>
      </c>
      <c r="C610" s="1">
        <v>44476.6875</v>
      </c>
      <c r="D610" s="1">
        <v>44476.6875</v>
      </c>
      <c r="E610" s="17">
        <f>IF(Tablo2[[#This Row],[Başlangıç]]="","",(IF(Tablo2[[#This Row],[Bitiş]]="",($G$1-Tablo2[[#This Row],[Başlangıç]])*24,(Tablo2[[#This Row],[Bitiş]]-Tablo2[[#This Row],[Başlangıç]])*24)))</f>
        <v>0</v>
      </c>
    </row>
    <row r="611" spans="1:5" x14ac:dyDescent="0.3">
      <c r="A611">
        <v>301</v>
      </c>
      <c r="B611" t="s">
        <v>68</v>
      </c>
      <c r="C611" s="1">
        <v>44482.020833333336</v>
      </c>
      <c r="D611" s="1">
        <v>44482.693055555559</v>
      </c>
      <c r="E611" s="17">
        <f>IF(Tablo2[[#This Row],[Başlangıç]]="","",(IF(Tablo2[[#This Row],[Bitiş]]="",($G$1-Tablo2[[#This Row],[Başlangıç]])*24,(Tablo2[[#This Row],[Bitiş]]-Tablo2[[#This Row],[Başlangıç]])*24)))</f>
        <v>16.133333333360497</v>
      </c>
    </row>
    <row r="612" spans="1:5" x14ac:dyDescent="0.3">
      <c r="A612">
        <v>301</v>
      </c>
      <c r="B612" t="s">
        <v>37</v>
      </c>
      <c r="C612" s="1">
        <v>44478.1875</v>
      </c>
      <c r="D612" s="1">
        <v>44480.996527777781</v>
      </c>
      <c r="E612" s="17">
        <f>IF(Tablo2[[#This Row],[Başlangıç]]="","",(IF(Tablo2[[#This Row],[Bitiş]]="",($G$1-Tablo2[[#This Row],[Başlangıç]])*24,(Tablo2[[#This Row],[Bitiş]]-Tablo2[[#This Row],[Başlangıç]])*24)))</f>
        <v>67.416666666744277</v>
      </c>
    </row>
    <row r="613" spans="1:5" x14ac:dyDescent="0.3">
      <c r="A613">
        <v>301</v>
      </c>
      <c r="B613" t="s">
        <v>65</v>
      </c>
      <c r="C613" s="1">
        <v>44479.083333333336</v>
      </c>
      <c r="D613" s="1">
        <v>44481.590277777781</v>
      </c>
      <c r="E613" s="17">
        <f>IF(Tablo2[[#This Row],[Başlangıç]]="","",(IF(Tablo2[[#This Row],[Bitiş]]="",($G$1-Tablo2[[#This Row],[Başlangıç]])*24,(Tablo2[[#This Row],[Bitiş]]-Tablo2[[#This Row],[Başlangıç]])*24)))</f>
        <v>60.166666666686069</v>
      </c>
    </row>
    <row r="614" spans="1:5" x14ac:dyDescent="0.3">
      <c r="A614">
        <v>303</v>
      </c>
      <c r="B614" t="s">
        <v>36</v>
      </c>
      <c r="C614" s="1">
        <v>44476.958333333336</v>
      </c>
      <c r="D614" s="1">
        <v>44480.041666666664</v>
      </c>
      <c r="E614" s="17">
        <f>IF(Tablo2[[#This Row],[Başlangıç]]="","",(IF(Tablo2[[#This Row],[Bitiş]]="",($G$1-Tablo2[[#This Row],[Başlangıç]])*24,(Tablo2[[#This Row],[Bitiş]]-Tablo2[[#This Row],[Başlangıç]])*24)))</f>
        <v>73.999999999883585</v>
      </c>
    </row>
    <row r="615" spans="1:5" x14ac:dyDescent="0.3">
      <c r="A615">
        <v>303</v>
      </c>
      <c r="B615" t="s">
        <v>84</v>
      </c>
      <c r="C615" s="1">
        <v>44482.0625</v>
      </c>
      <c r="D615" s="1">
        <v>44482.885416666664</v>
      </c>
      <c r="E615" s="17">
        <f>IF(Tablo2[[#This Row],[Başlangıç]]="","",(IF(Tablo2[[#This Row],[Bitiş]]="",($G$1-Tablo2[[#This Row],[Başlangıç]])*24,(Tablo2[[#This Row],[Bitiş]]-Tablo2[[#This Row],[Başlangıç]])*24)))</f>
        <v>19.749999999941792</v>
      </c>
    </row>
    <row r="616" spans="1:5" x14ac:dyDescent="0.3">
      <c r="A616">
        <v>303</v>
      </c>
      <c r="B616" t="s">
        <v>179</v>
      </c>
      <c r="C616" s="1">
        <v>44476.958333333336</v>
      </c>
      <c r="D616" s="1">
        <v>44476.979166666664</v>
      </c>
      <c r="E61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17" spans="1:5" x14ac:dyDescent="0.3">
      <c r="A617">
        <v>303</v>
      </c>
      <c r="B617" t="s">
        <v>68</v>
      </c>
      <c r="C617" s="1">
        <v>44482.534722222219</v>
      </c>
      <c r="D617" s="1">
        <v>44484.481249999997</v>
      </c>
      <c r="E617" s="17">
        <f>IF(Tablo2[[#This Row],[Başlangıç]]="","",(IF(Tablo2[[#This Row],[Bitiş]]="",($G$1-Tablo2[[#This Row],[Başlangıç]])*24,(Tablo2[[#This Row],[Bitiş]]-Tablo2[[#This Row],[Başlangıç]])*24)))</f>
        <v>46.716666666674428</v>
      </c>
    </row>
    <row r="618" spans="1:5" x14ac:dyDescent="0.3">
      <c r="A618">
        <v>303</v>
      </c>
      <c r="B618" t="s">
        <v>37</v>
      </c>
      <c r="C618" s="1">
        <v>44479.409722222219</v>
      </c>
      <c r="D618" s="1">
        <v>44481.739583333336</v>
      </c>
      <c r="E618" s="17">
        <f>IF(Tablo2[[#This Row],[Başlangıç]]="","",(IF(Tablo2[[#This Row],[Bitiş]]="",($G$1-Tablo2[[#This Row],[Başlangıç]])*24,(Tablo2[[#This Row],[Bitiş]]-Tablo2[[#This Row],[Başlangıç]])*24)))</f>
        <v>55.916666666802485</v>
      </c>
    </row>
    <row r="619" spans="1:5" x14ac:dyDescent="0.3">
      <c r="A619">
        <v>303</v>
      </c>
      <c r="B619" t="s">
        <v>65</v>
      </c>
      <c r="C619" s="1">
        <v>44481.364583333336</v>
      </c>
      <c r="D619" s="1">
        <v>44481.958333333336</v>
      </c>
      <c r="E619" s="17">
        <f>IF(Tablo2[[#This Row],[Başlangıç]]="","",(IF(Tablo2[[#This Row],[Bitiş]]="",($G$1-Tablo2[[#This Row],[Başlangıç]])*24,(Tablo2[[#This Row],[Bitiş]]-Tablo2[[#This Row],[Başlangıç]])*24)))</f>
        <v>14.25</v>
      </c>
    </row>
    <row r="620" spans="1:5" x14ac:dyDescent="0.3">
      <c r="A620">
        <v>304</v>
      </c>
      <c r="B620" t="s">
        <v>36</v>
      </c>
      <c r="C620" s="1">
        <v>44477.854166666664</v>
      </c>
      <c r="D620" s="1">
        <v>44480.996527777781</v>
      </c>
      <c r="E620" s="17">
        <f>IF(Tablo2[[#This Row],[Başlangıç]]="","",(IF(Tablo2[[#This Row],[Bitiş]]="",($G$1-Tablo2[[#This Row],[Başlangıç]])*24,(Tablo2[[#This Row],[Bitiş]]-Tablo2[[#This Row],[Başlangıç]])*24)))</f>
        <v>75.416666666802485</v>
      </c>
    </row>
    <row r="621" spans="1:5" x14ac:dyDescent="0.3">
      <c r="A621">
        <v>304</v>
      </c>
      <c r="B621" t="s">
        <v>84</v>
      </c>
      <c r="C621" s="1">
        <v>44483.069444444445</v>
      </c>
      <c r="D621" s="1">
        <v>44484</v>
      </c>
      <c r="E621" s="17">
        <f>IF(Tablo2[[#This Row],[Başlangıç]]="","",(IF(Tablo2[[#This Row],[Bitiş]]="",($G$1-Tablo2[[#This Row],[Başlangıç]])*24,(Tablo2[[#This Row],[Bitiş]]-Tablo2[[#This Row],[Başlangıç]])*24)))</f>
        <v>22.333333333313931</v>
      </c>
    </row>
    <row r="622" spans="1:5" x14ac:dyDescent="0.3">
      <c r="A622">
        <v>304</v>
      </c>
      <c r="B622" t="s">
        <v>179</v>
      </c>
      <c r="C622" s="1">
        <v>44477.854166666664</v>
      </c>
      <c r="D622" s="1">
        <v>44477.854166666664</v>
      </c>
      <c r="E622" s="17">
        <f>IF(Tablo2[[#This Row],[Başlangıç]]="","",(IF(Tablo2[[#This Row],[Bitiş]]="",($G$1-Tablo2[[#This Row],[Başlangıç]])*24,(Tablo2[[#This Row],[Bitiş]]-Tablo2[[#This Row],[Başlangıç]])*24)))</f>
        <v>0</v>
      </c>
    </row>
    <row r="623" spans="1:5" x14ac:dyDescent="0.3">
      <c r="A623">
        <v>304</v>
      </c>
      <c r="B623" t="s">
        <v>68</v>
      </c>
      <c r="C623" s="1">
        <v>44483.375</v>
      </c>
      <c r="D623" s="1">
        <v>44483.958333333336</v>
      </c>
      <c r="E623" s="17">
        <f>IF(Tablo2[[#This Row],[Başlangıç]]="","",(IF(Tablo2[[#This Row],[Bitiş]]="",($G$1-Tablo2[[#This Row],[Başlangıç]])*24,(Tablo2[[#This Row],[Bitiş]]-Tablo2[[#This Row],[Başlangıç]])*24)))</f>
        <v>14.000000000058208</v>
      </c>
    </row>
    <row r="624" spans="1:5" x14ac:dyDescent="0.3">
      <c r="A624">
        <v>304</v>
      </c>
      <c r="B624" t="s">
        <v>37</v>
      </c>
      <c r="C624" s="1">
        <v>44479.496527777781</v>
      </c>
      <c r="D624" s="1">
        <v>44481.722222222219</v>
      </c>
      <c r="E624" s="17">
        <f>IF(Tablo2[[#This Row],[Başlangıç]]="","",(IF(Tablo2[[#This Row],[Bitiş]]="",($G$1-Tablo2[[#This Row],[Başlangıç]])*24,(Tablo2[[#This Row],[Bitiş]]-Tablo2[[#This Row],[Başlangıç]])*24)))</f>
        <v>53.416666666511446</v>
      </c>
    </row>
    <row r="625" spans="1:5" x14ac:dyDescent="0.3">
      <c r="A625">
        <v>304</v>
      </c>
      <c r="B625" t="s">
        <v>65</v>
      </c>
      <c r="C625" s="1">
        <v>44482.243055555555</v>
      </c>
      <c r="D625" s="1">
        <v>44482.999305555553</v>
      </c>
      <c r="E625" s="17">
        <f>IF(Tablo2[[#This Row],[Başlangıç]]="","",(IF(Tablo2[[#This Row],[Bitiş]]="",($G$1-Tablo2[[#This Row],[Başlangıç]])*24,(Tablo2[[#This Row],[Bitiş]]-Tablo2[[#This Row],[Başlangıç]])*24)))</f>
        <v>18.149999999965075</v>
      </c>
    </row>
    <row r="626" spans="1:5" x14ac:dyDescent="0.3">
      <c r="A626">
        <v>305</v>
      </c>
      <c r="B626" t="s">
        <v>36</v>
      </c>
      <c r="C626" s="1">
        <v>44478.958333333336</v>
      </c>
      <c r="D626" s="1">
        <v>44482.892361111109</v>
      </c>
      <c r="E626" s="17">
        <f>IF(Tablo2[[#This Row],[Başlangıç]]="","",(IF(Tablo2[[#This Row],[Bitiş]]="",($G$1-Tablo2[[#This Row],[Başlangıç]])*24,(Tablo2[[#This Row],[Bitiş]]-Tablo2[[#This Row],[Başlangıç]])*24)))</f>
        <v>94.416666666569654</v>
      </c>
    </row>
    <row r="627" spans="1:5" x14ac:dyDescent="0.3">
      <c r="A627">
        <v>305</v>
      </c>
      <c r="B627" t="s">
        <v>84</v>
      </c>
      <c r="C627" s="1">
        <v>44483.986111111109</v>
      </c>
      <c r="D627" s="1">
        <v>44489.666666666664</v>
      </c>
      <c r="E627" s="17">
        <f>IF(Tablo2[[#This Row],[Başlangıç]]="","",(IF(Tablo2[[#This Row],[Bitiş]]="",($G$1-Tablo2[[#This Row],[Başlangıç]])*24,(Tablo2[[#This Row],[Bitiş]]-Tablo2[[#This Row],[Başlangıç]])*24)))</f>
        <v>136.33333333331393</v>
      </c>
    </row>
    <row r="628" spans="1:5" x14ac:dyDescent="0.3">
      <c r="A628">
        <v>305</v>
      </c>
      <c r="B628" t="s">
        <v>179</v>
      </c>
      <c r="C628" s="1">
        <v>44478.958333333336</v>
      </c>
      <c r="D628" s="1">
        <v>44478.979166666664</v>
      </c>
      <c r="E62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29" spans="1:5" x14ac:dyDescent="0.3">
      <c r="A629">
        <v>305</v>
      </c>
      <c r="B629" t="s">
        <v>68</v>
      </c>
      <c r="C629" s="1">
        <v>44484.634027777778</v>
      </c>
      <c r="D629" s="1">
        <v>44490.250694444447</v>
      </c>
      <c r="E629" s="17">
        <f>IF(Tablo2[[#This Row],[Başlangıç]]="","",(IF(Tablo2[[#This Row],[Bitiş]]="",($G$1-Tablo2[[#This Row],[Başlangıç]])*24,(Tablo2[[#This Row],[Bitiş]]-Tablo2[[#This Row],[Başlangıç]])*24)))</f>
        <v>134.80000000004657</v>
      </c>
    </row>
    <row r="630" spans="1:5" x14ac:dyDescent="0.3">
      <c r="A630">
        <v>305</v>
      </c>
      <c r="B630" t="s">
        <v>37</v>
      </c>
      <c r="C630" s="1">
        <v>44479.423611111109</v>
      </c>
      <c r="D630" s="1">
        <v>44482.777777777781</v>
      </c>
      <c r="E630" s="17">
        <f>IF(Tablo2[[#This Row],[Başlangıç]]="","",(IF(Tablo2[[#This Row],[Bitiş]]="",($G$1-Tablo2[[#This Row],[Başlangıç]])*24,(Tablo2[[#This Row],[Bitiş]]-Tablo2[[#This Row],[Başlangıç]])*24)))</f>
        <v>80.500000000116415</v>
      </c>
    </row>
    <row r="631" spans="1:5" x14ac:dyDescent="0.3">
      <c r="A631">
        <v>305</v>
      </c>
      <c r="B631" t="s">
        <v>65</v>
      </c>
      <c r="C631" s="1">
        <v>44481.166666666664</v>
      </c>
      <c r="D631" s="1">
        <v>44483.833333333336</v>
      </c>
      <c r="E631" s="17">
        <f>IF(Tablo2[[#This Row],[Başlangıç]]="","",(IF(Tablo2[[#This Row],[Bitiş]]="",($G$1-Tablo2[[#This Row],[Başlangıç]])*24,(Tablo2[[#This Row],[Bitiş]]-Tablo2[[#This Row],[Başlangıç]])*24)))</f>
        <v>64.000000000116415</v>
      </c>
    </row>
    <row r="632" spans="1:5" x14ac:dyDescent="0.3">
      <c r="A632">
        <v>306</v>
      </c>
      <c r="B632" t="s">
        <v>36</v>
      </c>
      <c r="C632" s="1">
        <v>44478.125</v>
      </c>
      <c r="D632" s="1">
        <v>44482.907638888886</v>
      </c>
      <c r="E632" s="17">
        <f>IF(Tablo2[[#This Row],[Başlangıç]]="","",(IF(Tablo2[[#This Row],[Bitiş]]="",($G$1-Tablo2[[#This Row],[Başlangıç]])*24,(Tablo2[[#This Row],[Bitiş]]-Tablo2[[#This Row],[Başlangıç]])*24)))</f>
        <v>114.78333333326736</v>
      </c>
    </row>
    <row r="633" spans="1:5" x14ac:dyDescent="0.3">
      <c r="A633">
        <v>306</v>
      </c>
      <c r="B633" t="s">
        <v>84</v>
      </c>
      <c r="C633" s="1">
        <v>44486.041666666664</v>
      </c>
      <c r="D633" s="1">
        <v>44488.9375</v>
      </c>
      <c r="E633" s="17">
        <f>IF(Tablo2[[#This Row],[Başlangıç]]="","",(IF(Tablo2[[#This Row],[Bitiş]]="",($G$1-Tablo2[[#This Row],[Başlangıç]])*24,(Tablo2[[#This Row],[Bitiş]]-Tablo2[[#This Row],[Başlangıç]])*24)))</f>
        <v>69.500000000058208</v>
      </c>
    </row>
    <row r="634" spans="1:5" x14ac:dyDescent="0.3">
      <c r="A634">
        <v>306</v>
      </c>
      <c r="B634" t="s">
        <v>179</v>
      </c>
      <c r="C634" s="1">
        <v>44478.125</v>
      </c>
      <c r="D634" s="1">
        <v>44478.145833333336</v>
      </c>
      <c r="E6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35" spans="1:5" x14ac:dyDescent="0.3">
      <c r="A635">
        <v>306</v>
      </c>
      <c r="B635" t="s">
        <v>68</v>
      </c>
      <c r="C635" s="1">
        <v>44486.875</v>
      </c>
      <c r="D635" s="1">
        <v>44490.958333333336</v>
      </c>
      <c r="E635" s="17">
        <f>IF(Tablo2[[#This Row],[Başlangıç]]="","",(IF(Tablo2[[#This Row],[Bitiş]]="",($G$1-Tablo2[[#This Row],[Başlangıç]])*24,(Tablo2[[#This Row],[Bitiş]]-Tablo2[[#This Row],[Başlangıç]])*24)))</f>
        <v>98.000000000058208</v>
      </c>
    </row>
    <row r="636" spans="1:5" x14ac:dyDescent="0.3">
      <c r="A636">
        <v>306</v>
      </c>
      <c r="B636" t="s">
        <v>37</v>
      </c>
      <c r="C636" s="1">
        <v>44480.079861111109</v>
      </c>
      <c r="D636" s="1">
        <v>44485.048611111109</v>
      </c>
      <c r="E636" s="17">
        <f>IF(Tablo2[[#This Row],[Başlangıç]]="","",(IF(Tablo2[[#This Row],[Bitiş]]="",($G$1-Tablo2[[#This Row],[Başlangıç]])*24,(Tablo2[[#This Row],[Bitiş]]-Tablo2[[#This Row],[Başlangıç]])*24)))</f>
        <v>119.25</v>
      </c>
    </row>
    <row r="637" spans="1:5" x14ac:dyDescent="0.3">
      <c r="A637">
        <v>306</v>
      </c>
      <c r="B637" t="s">
        <v>65</v>
      </c>
      <c r="C637" s="1">
        <v>44480.996527777781</v>
      </c>
      <c r="D637" s="1">
        <v>44488.746527777781</v>
      </c>
      <c r="E637" s="17">
        <f>IF(Tablo2[[#This Row],[Başlangıç]]="","",(IF(Tablo2[[#This Row],[Bitiş]]="",($G$1-Tablo2[[#This Row],[Başlangıç]])*24,(Tablo2[[#This Row],[Bitiş]]-Tablo2[[#This Row],[Başlangıç]])*24)))</f>
        <v>186</v>
      </c>
    </row>
    <row r="638" spans="1:5" x14ac:dyDescent="0.3">
      <c r="A638">
        <v>307</v>
      </c>
      <c r="B638" t="s">
        <v>36</v>
      </c>
      <c r="C638" s="1">
        <v>44480.541666666664</v>
      </c>
      <c r="D638" s="1">
        <v>44482.895138888889</v>
      </c>
      <c r="E638" s="17">
        <f>IF(Tablo2[[#This Row],[Başlangıç]]="","",(IF(Tablo2[[#This Row],[Bitiş]]="",($G$1-Tablo2[[#This Row],[Başlangıç]])*24,(Tablo2[[#This Row],[Bitiş]]-Tablo2[[#This Row],[Başlangıç]])*24)))</f>
        <v>56.483333333395422</v>
      </c>
    </row>
    <row r="639" spans="1:5" x14ac:dyDescent="0.3">
      <c r="A639">
        <v>307</v>
      </c>
      <c r="B639" t="s">
        <v>84</v>
      </c>
      <c r="C639" s="1">
        <v>44483.486111111109</v>
      </c>
      <c r="D639" s="1">
        <v>44485.888888888891</v>
      </c>
      <c r="E639" s="17">
        <f>IF(Tablo2[[#This Row],[Başlangıç]]="","",(IF(Tablo2[[#This Row],[Bitiş]]="",($G$1-Tablo2[[#This Row],[Başlangıç]])*24,(Tablo2[[#This Row],[Bitiş]]-Tablo2[[#This Row],[Başlangıç]])*24)))</f>
        <v>57.666666666744277</v>
      </c>
    </row>
    <row r="640" spans="1:5" x14ac:dyDescent="0.3">
      <c r="A640">
        <v>307</v>
      </c>
      <c r="B640" t="s">
        <v>179</v>
      </c>
      <c r="C640" s="1">
        <v>44480.541666666664</v>
      </c>
      <c r="D640" s="1">
        <v>44480.5625</v>
      </c>
      <c r="E64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41" spans="1:5" x14ac:dyDescent="0.3">
      <c r="A641">
        <v>307</v>
      </c>
      <c r="B641" t="s">
        <v>68</v>
      </c>
      <c r="C641" s="1">
        <v>44483.847222222219</v>
      </c>
      <c r="D641" s="1">
        <v>44486.583333333336</v>
      </c>
      <c r="E641" s="17">
        <f>IF(Tablo2[[#This Row],[Başlangıç]]="","",(IF(Tablo2[[#This Row],[Bitiş]]="",($G$1-Tablo2[[#This Row],[Başlangıç]])*24,(Tablo2[[#This Row],[Bitiş]]-Tablo2[[#This Row],[Başlangıç]])*24)))</f>
        <v>65.666666666802485</v>
      </c>
    </row>
    <row r="642" spans="1:5" x14ac:dyDescent="0.3">
      <c r="A642">
        <v>307</v>
      </c>
      <c r="B642" t="s">
        <v>37</v>
      </c>
      <c r="C642" s="1">
        <v>44480.864583333336</v>
      </c>
      <c r="D642" s="1">
        <v>44483.850694444445</v>
      </c>
      <c r="E642" s="17">
        <f>IF(Tablo2[[#This Row],[Başlangıç]]="","",(IF(Tablo2[[#This Row],[Bitiş]]="",($G$1-Tablo2[[#This Row],[Başlangıç]])*24,(Tablo2[[#This Row],[Bitiş]]-Tablo2[[#This Row],[Başlangıç]])*24)))</f>
        <v>71.666666666627862</v>
      </c>
    </row>
    <row r="643" spans="1:5" x14ac:dyDescent="0.3">
      <c r="A643">
        <v>307</v>
      </c>
      <c r="B643" t="s">
        <v>65</v>
      </c>
      <c r="C643" s="1">
        <v>44482.833333333336</v>
      </c>
      <c r="D643" s="1">
        <v>44483.472222222219</v>
      </c>
      <c r="E643" s="17">
        <f>IF(Tablo2[[#This Row],[Başlangıç]]="","",(IF(Tablo2[[#This Row],[Bitiş]]="",($G$1-Tablo2[[#This Row],[Başlangıç]])*24,(Tablo2[[#This Row],[Bitiş]]-Tablo2[[#This Row],[Başlangıç]])*24)))</f>
        <v>15.333333333197515</v>
      </c>
    </row>
    <row r="644" spans="1:5" x14ac:dyDescent="0.3">
      <c r="A644">
        <v>308</v>
      </c>
      <c r="B644" t="s">
        <v>36</v>
      </c>
      <c r="C644" s="1">
        <v>44481.114583333336</v>
      </c>
      <c r="D644" s="1">
        <v>44482.729166666664</v>
      </c>
      <c r="E644" s="17">
        <f>IF(Tablo2[[#This Row],[Başlangıç]]="","",(IF(Tablo2[[#This Row],[Bitiş]]="",($G$1-Tablo2[[#This Row],[Başlangıç]])*24,(Tablo2[[#This Row],[Bitiş]]-Tablo2[[#This Row],[Başlangıç]])*24)))</f>
        <v>38.749999999883585</v>
      </c>
    </row>
    <row r="645" spans="1:5" x14ac:dyDescent="0.3">
      <c r="A645">
        <v>308</v>
      </c>
      <c r="B645" t="s">
        <v>84</v>
      </c>
      <c r="C645" s="1">
        <v>44486.041666666664</v>
      </c>
      <c r="D645" s="1">
        <v>44486.385416666664</v>
      </c>
      <c r="E645" s="17">
        <f>IF(Tablo2[[#This Row],[Başlangıç]]="","",(IF(Tablo2[[#This Row],[Bitiş]]="",($G$1-Tablo2[[#This Row],[Başlangıç]])*24,(Tablo2[[#This Row],[Bitiş]]-Tablo2[[#This Row],[Başlangıç]])*24)))</f>
        <v>8.25</v>
      </c>
    </row>
    <row r="646" spans="1:5" x14ac:dyDescent="0.3">
      <c r="A646">
        <v>308</v>
      </c>
      <c r="B646" t="s">
        <v>179</v>
      </c>
      <c r="C646" s="1">
        <v>44481.114583333336</v>
      </c>
      <c r="D646" s="1">
        <v>44481.135416666664</v>
      </c>
      <c r="E6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47" spans="1:5" x14ac:dyDescent="0.3">
      <c r="A647">
        <v>308</v>
      </c>
      <c r="B647" t="s">
        <v>68</v>
      </c>
      <c r="C647" s="1">
        <v>44486.354166666664</v>
      </c>
      <c r="D647" s="1">
        <v>44487.5</v>
      </c>
      <c r="E647" s="17">
        <f>IF(Tablo2[[#This Row],[Başlangıç]]="","",(IF(Tablo2[[#This Row],[Bitiş]]="",($G$1-Tablo2[[#This Row],[Başlangıç]])*24,(Tablo2[[#This Row],[Bitiş]]-Tablo2[[#This Row],[Başlangıç]])*24)))</f>
        <v>27.500000000058208</v>
      </c>
    </row>
    <row r="648" spans="1:5" x14ac:dyDescent="0.3">
      <c r="A648">
        <v>308</v>
      </c>
      <c r="B648" t="s">
        <v>37</v>
      </c>
      <c r="C648" s="1">
        <v>44481.875</v>
      </c>
      <c r="D648" s="1">
        <v>44485.888888888891</v>
      </c>
      <c r="E648" s="17">
        <f>IF(Tablo2[[#This Row],[Başlangıç]]="","",(IF(Tablo2[[#This Row],[Bitiş]]="",($G$1-Tablo2[[#This Row],[Başlangıç]])*24,(Tablo2[[#This Row],[Bitiş]]-Tablo2[[#This Row],[Başlangıç]])*24)))</f>
        <v>96.333333333372138</v>
      </c>
    </row>
    <row r="649" spans="1:5" x14ac:dyDescent="0.3">
      <c r="A649">
        <v>308</v>
      </c>
      <c r="B649" t="s">
        <v>65</v>
      </c>
      <c r="C649" s="1">
        <v>44481.642361111109</v>
      </c>
      <c r="D649" s="1">
        <v>44486</v>
      </c>
      <c r="E649" s="17">
        <f>IF(Tablo2[[#This Row],[Başlangıç]]="","",(IF(Tablo2[[#This Row],[Bitiş]]="",($G$1-Tablo2[[#This Row],[Başlangıç]])*24,(Tablo2[[#This Row],[Bitiş]]-Tablo2[[#This Row],[Başlangıç]])*24)))</f>
        <v>104.58333333337214</v>
      </c>
    </row>
    <row r="650" spans="1:5" x14ac:dyDescent="0.3">
      <c r="A650">
        <v>309</v>
      </c>
      <c r="B650" t="s">
        <v>36</v>
      </c>
      <c r="C650" s="1">
        <v>44480.020833333336</v>
      </c>
      <c r="D650" s="1">
        <v>44482.434027777781</v>
      </c>
      <c r="E650" s="17">
        <f>IF(Tablo2[[#This Row],[Başlangıç]]="","",(IF(Tablo2[[#This Row],[Bitiş]]="",($G$1-Tablo2[[#This Row],[Başlangıç]])*24,(Tablo2[[#This Row],[Bitiş]]-Tablo2[[#This Row],[Başlangıç]])*24)))</f>
        <v>57.916666666686069</v>
      </c>
    </row>
    <row r="651" spans="1:5" x14ac:dyDescent="0.3">
      <c r="A651">
        <v>309</v>
      </c>
      <c r="B651" t="s">
        <v>84</v>
      </c>
      <c r="C651" s="1">
        <v>44485.125</v>
      </c>
      <c r="D651" s="1">
        <v>44485.625</v>
      </c>
      <c r="E651" s="17">
        <f>IF(Tablo2[[#This Row],[Başlangıç]]="","",(IF(Tablo2[[#This Row],[Bitiş]]="",($G$1-Tablo2[[#This Row],[Başlangıç]])*24,(Tablo2[[#This Row],[Bitiş]]-Tablo2[[#This Row],[Başlangıç]])*24)))</f>
        <v>12</v>
      </c>
    </row>
    <row r="652" spans="1:5" x14ac:dyDescent="0.3">
      <c r="A652">
        <v>309</v>
      </c>
      <c r="B652" t="s">
        <v>179</v>
      </c>
      <c r="C652" s="1">
        <v>44480.020833333336</v>
      </c>
      <c r="D652" s="1">
        <v>44480.041666666664</v>
      </c>
      <c r="E65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53" spans="1:5" x14ac:dyDescent="0.3">
      <c r="A653">
        <v>309</v>
      </c>
      <c r="B653" t="s">
        <v>68</v>
      </c>
      <c r="C653" s="1">
        <v>44455.756249999999</v>
      </c>
      <c r="D653" s="1">
        <v>44486.354166666664</v>
      </c>
      <c r="E653" s="17">
        <f>IF(Tablo2[[#This Row],[Başlangıç]]="","",(IF(Tablo2[[#This Row],[Bitiş]]="",($G$1-Tablo2[[#This Row],[Başlangıç]])*24,(Tablo2[[#This Row],[Bitiş]]-Tablo2[[#This Row],[Başlangıç]])*24)))</f>
        <v>734.34999999997672</v>
      </c>
    </row>
    <row r="654" spans="1:5" x14ac:dyDescent="0.3">
      <c r="A654">
        <v>309</v>
      </c>
      <c r="B654" t="s">
        <v>37</v>
      </c>
      <c r="C654" s="1">
        <v>44479.416666666664</v>
      </c>
      <c r="D654" s="1">
        <v>44484.128472222219</v>
      </c>
      <c r="E654" s="17">
        <f>IF(Tablo2[[#This Row],[Başlangıç]]="","",(IF(Tablo2[[#This Row],[Bitiş]]="",($G$1-Tablo2[[#This Row],[Başlangıç]])*24,(Tablo2[[#This Row],[Bitiş]]-Tablo2[[#This Row],[Başlangıç]])*24)))</f>
        <v>113.08333333331393</v>
      </c>
    </row>
    <row r="655" spans="1:5" x14ac:dyDescent="0.3">
      <c r="A655">
        <v>309</v>
      </c>
      <c r="B655" t="s">
        <v>65</v>
      </c>
      <c r="C655" s="1">
        <v>44454.666666666664</v>
      </c>
      <c r="D655" s="1">
        <v>44485.074305555558</v>
      </c>
      <c r="E655" s="17">
        <f>IF(Tablo2[[#This Row],[Başlangıç]]="","",(IF(Tablo2[[#This Row],[Bitiş]]="",($G$1-Tablo2[[#This Row],[Başlangıç]])*24,(Tablo2[[#This Row],[Bitiş]]-Tablo2[[#This Row],[Başlangıç]])*24)))</f>
        <v>729.78333333344199</v>
      </c>
    </row>
    <row r="656" spans="1:5" x14ac:dyDescent="0.3">
      <c r="A656">
        <v>310</v>
      </c>
      <c r="B656" t="s">
        <v>36</v>
      </c>
      <c r="C656" s="1">
        <v>44481.833333333336</v>
      </c>
      <c r="D656" s="1">
        <v>44484.609027777777</v>
      </c>
      <c r="E656" s="17">
        <f>IF(Tablo2[[#This Row],[Başlangıç]]="","",(IF(Tablo2[[#This Row],[Bitiş]]="",($G$1-Tablo2[[#This Row],[Başlangıç]])*24,(Tablo2[[#This Row],[Bitiş]]-Tablo2[[#This Row],[Başlangıç]])*24)))</f>
        <v>66.616666666581295</v>
      </c>
    </row>
    <row r="657" spans="1:5" x14ac:dyDescent="0.3">
      <c r="A657">
        <v>310</v>
      </c>
      <c r="B657" t="s">
        <v>84</v>
      </c>
      <c r="C657" s="1">
        <v>44486.302083333336</v>
      </c>
      <c r="D657" s="1">
        <v>44486.600694444445</v>
      </c>
      <c r="E657" s="17">
        <f>IF(Tablo2[[#This Row],[Başlangıç]]="","",(IF(Tablo2[[#This Row],[Bitiş]]="",($G$1-Tablo2[[#This Row],[Başlangıç]])*24,(Tablo2[[#This Row],[Bitiş]]-Tablo2[[#This Row],[Başlangıç]])*24)))</f>
        <v>7.1666666666278616</v>
      </c>
    </row>
    <row r="658" spans="1:5" x14ac:dyDescent="0.3">
      <c r="A658">
        <v>310</v>
      </c>
      <c r="B658" t="s">
        <v>179</v>
      </c>
      <c r="C658" s="1">
        <v>44481.833333333336</v>
      </c>
      <c r="D658" s="1">
        <v>44481.854166666664</v>
      </c>
      <c r="E6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59" spans="1:5" x14ac:dyDescent="0.3">
      <c r="A659">
        <v>310</v>
      </c>
      <c r="B659" t="s">
        <v>68</v>
      </c>
      <c r="C659" s="1">
        <v>44486.041666666664</v>
      </c>
      <c r="D659" s="1">
        <v>44487.84375</v>
      </c>
      <c r="E659" s="17">
        <f>IF(Tablo2[[#This Row],[Başlangıç]]="","",(IF(Tablo2[[#This Row],[Bitiş]]="",($G$1-Tablo2[[#This Row],[Başlangıç]])*24,(Tablo2[[#This Row],[Bitiş]]-Tablo2[[#This Row],[Başlangıç]])*24)))</f>
        <v>43.250000000058208</v>
      </c>
    </row>
    <row r="660" spans="1:5" x14ac:dyDescent="0.3">
      <c r="A660">
        <v>310</v>
      </c>
      <c r="B660" t="s">
        <v>37</v>
      </c>
      <c r="C660" s="1">
        <v>44482.520833333336</v>
      </c>
      <c r="D660" s="1">
        <v>44483.881944444445</v>
      </c>
      <c r="E660" s="17">
        <f>IF(Tablo2[[#This Row],[Başlangıç]]="","",(IF(Tablo2[[#This Row],[Bitiş]]="",($G$1-Tablo2[[#This Row],[Başlangıç]])*24,(Tablo2[[#This Row],[Bitiş]]-Tablo2[[#This Row],[Başlangıç]])*24)))</f>
        <v>32.666666666627862</v>
      </c>
    </row>
    <row r="661" spans="1:5" x14ac:dyDescent="0.3">
      <c r="A661">
        <v>310</v>
      </c>
      <c r="B661" t="s">
        <v>65</v>
      </c>
      <c r="C661" s="1">
        <v>44484.958333333336</v>
      </c>
      <c r="D661" s="1">
        <v>44486.809027777781</v>
      </c>
      <c r="E661" s="17">
        <f>IF(Tablo2[[#This Row],[Başlangıç]]="","",(IF(Tablo2[[#This Row],[Bitiş]]="",($G$1-Tablo2[[#This Row],[Başlangıç]])*24,(Tablo2[[#This Row],[Bitiş]]-Tablo2[[#This Row],[Başlangıç]])*24)))</f>
        <v>44.416666666686069</v>
      </c>
    </row>
    <row r="662" spans="1:5" x14ac:dyDescent="0.3">
      <c r="A662">
        <v>311</v>
      </c>
      <c r="B662" t="s">
        <v>36</v>
      </c>
      <c r="C662" s="1">
        <v>44481.114583333336</v>
      </c>
      <c r="D662" s="1">
        <v>44488.000694444447</v>
      </c>
      <c r="E662" s="17">
        <f>IF(Tablo2[[#This Row],[Başlangıç]]="","",(IF(Tablo2[[#This Row],[Bitiş]]="",($G$1-Tablo2[[#This Row],[Başlangıç]])*24,(Tablo2[[#This Row],[Bitiş]]-Tablo2[[#This Row],[Başlangıç]])*24)))</f>
        <v>165.26666666666279</v>
      </c>
    </row>
    <row r="663" spans="1:5" x14ac:dyDescent="0.3">
      <c r="A663">
        <v>311</v>
      </c>
      <c r="B663" t="s">
        <v>84</v>
      </c>
      <c r="C663" s="1">
        <v>44486.555555555555</v>
      </c>
      <c r="D663" s="1">
        <v>44486.861111111109</v>
      </c>
      <c r="E663" s="17">
        <f>IF(Tablo2[[#This Row],[Başlangıç]]="","",(IF(Tablo2[[#This Row],[Bitiş]]="",($G$1-Tablo2[[#This Row],[Başlangıç]])*24,(Tablo2[[#This Row],[Bitiş]]-Tablo2[[#This Row],[Başlangıç]])*24)))</f>
        <v>7.3333333333139308</v>
      </c>
    </row>
    <row r="664" spans="1:5" x14ac:dyDescent="0.3">
      <c r="A664">
        <v>311</v>
      </c>
      <c r="B664" t="s">
        <v>179</v>
      </c>
      <c r="C664" s="1">
        <v>44481.114583333336</v>
      </c>
      <c r="D664" s="1">
        <v>44481.135416666664</v>
      </c>
      <c r="E66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65" spans="1:5" x14ac:dyDescent="0.3">
      <c r="A665">
        <v>311</v>
      </c>
      <c r="B665" t="s">
        <v>68</v>
      </c>
      <c r="C665" s="1">
        <v>44486.875</v>
      </c>
      <c r="D665" s="1">
        <v>44488.25</v>
      </c>
      <c r="E665" s="17">
        <f>IF(Tablo2[[#This Row],[Başlangıç]]="","",(IF(Tablo2[[#This Row],[Bitiş]]="",($G$1-Tablo2[[#This Row],[Başlangıç]])*24,(Tablo2[[#This Row],[Bitiş]]-Tablo2[[#This Row],[Başlangıç]])*24)))</f>
        <v>33</v>
      </c>
    </row>
    <row r="666" spans="1:5" x14ac:dyDescent="0.3">
      <c r="A666">
        <v>311</v>
      </c>
      <c r="B666" t="s">
        <v>37</v>
      </c>
      <c r="C666" s="1">
        <v>44483.25</v>
      </c>
      <c r="D666" s="1">
        <v>44485.704861111109</v>
      </c>
      <c r="E666" s="17">
        <f>IF(Tablo2[[#This Row],[Başlangıç]]="","",(IF(Tablo2[[#This Row],[Bitiş]]="",($G$1-Tablo2[[#This Row],[Başlangıç]])*24,(Tablo2[[#This Row],[Bitiş]]-Tablo2[[#This Row],[Başlangıç]])*24)))</f>
        <v>58.916666666627862</v>
      </c>
    </row>
    <row r="667" spans="1:5" x14ac:dyDescent="0.3">
      <c r="A667">
        <v>311</v>
      </c>
      <c r="B667" t="s">
        <v>65</v>
      </c>
      <c r="C667" s="1">
        <v>44486.010416666664</v>
      </c>
      <c r="D667" s="1">
        <v>44486.5</v>
      </c>
      <c r="E667" s="17">
        <f>IF(Tablo2[[#This Row],[Başlangıç]]="","",(IF(Tablo2[[#This Row],[Bitiş]]="",($G$1-Tablo2[[#This Row],[Başlangıç]])*24,(Tablo2[[#This Row],[Bitiş]]-Tablo2[[#This Row],[Başlangıç]])*24)))</f>
        <v>11.750000000058208</v>
      </c>
    </row>
    <row r="668" spans="1:5" x14ac:dyDescent="0.3">
      <c r="A668">
        <v>312</v>
      </c>
      <c r="B668" t="s">
        <v>36</v>
      </c>
      <c r="C668" s="1">
        <v>44483.145833333336</v>
      </c>
      <c r="D668" s="1">
        <v>44484.34375</v>
      </c>
      <c r="E668" s="17">
        <f>IF(Tablo2[[#This Row],[Başlangıç]]="","",(IF(Tablo2[[#This Row],[Bitiş]]="",($G$1-Tablo2[[#This Row],[Başlangıç]])*24,(Tablo2[[#This Row],[Bitiş]]-Tablo2[[#This Row],[Başlangıç]])*24)))</f>
        <v>28.749999999941792</v>
      </c>
    </row>
    <row r="669" spans="1:5" x14ac:dyDescent="0.3">
      <c r="A669">
        <v>312</v>
      </c>
      <c r="B669" t="s">
        <v>84</v>
      </c>
      <c r="C669" s="1">
        <v>44485.177083333336</v>
      </c>
      <c r="D669" s="1">
        <v>44485.46875</v>
      </c>
      <c r="E669" s="17">
        <f>IF(Tablo2[[#This Row],[Başlangıç]]="","",(IF(Tablo2[[#This Row],[Bitiş]]="",($G$1-Tablo2[[#This Row],[Başlangıç]])*24,(Tablo2[[#This Row],[Bitiş]]-Tablo2[[#This Row],[Başlangıç]])*24)))</f>
        <v>6.9999999999417923</v>
      </c>
    </row>
    <row r="670" spans="1:5" x14ac:dyDescent="0.3">
      <c r="A670">
        <v>312</v>
      </c>
      <c r="B670" t="s">
        <v>179</v>
      </c>
      <c r="C670" s="1">
        <v>44483.145833333336</v>
      </c>
      <c r="D670" s="1">
        <v>44483.166666666664</v>
      </c>
      <c r="E67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671" spans="1:5" x14ac:dyDescent="0.3">
      <c r="A671">
        <v>312</v>
      </c>
      <c r="B671" t="s">
        <v>68</v>
      </c>
      <c r="C671" s="1">
        <v>44485.458333333336</v>
      </c>
      <c r="D671" s="1">
        <v>44488.84375</v>
      </c>
      <c r="E671" s="17">
        <f>IF(Tablo2[[#This Row],[Başlangıç]]="","",(IF(Tablo2[[#This Row],[Bitiş]]="",($G$1-Tablo2[[#This Row],[Başlangıç]])*24,(Tablo2[[#This Row],[Bitiş]]-Tablo2[[#This Row],[Başlangıç]])*24)))</f>
        <v>81.249999999941792</v>
      </c>
    </row>
    <row r="672" spans="1:5" x14ac:dyDescent="0.3">
      <c r="A672">
        <v>312</v>
      </c>
      <c r="B672" t="s">
        <v>37</v>
      </c>
      <c r="C672" s="1">
        <v>44483.5</v>
      </c>
      <c r="D672" s="1">
        <v>44486.71875</v>
      </c>
      <c r="E672" s="17">
        <f>IF(Tablo2[[#This Row],[Başlangıç]]="","",(IF(Tablo2[[#This Row],[Bitiş]]="",($G$1-Tablo2[[#This Row],[Başlangıç]])*24,(Tablo2[[#This Row],[Bitiş]]-Tablo2[[#This Row],[Başlangıç]])*24)))</f>
        <v>77.25</v>
      </c>
    </row>
    <row r="673" spans="1:5" x14ac:dyDescent="0.3">
      <c r="A673">
        <v>312</v>
      </c>
      <c r="B673" t="s">
        <v>65</v>
      </c>
      <c r="C673" s="1">
        <v>44484.323611111111</v>
      </c>
      <c r="D673" s="1">
        <v>44486.833333333336</v>
      </c>
      <c r="E673" s="17">
        <f>IF(Tablo2[[#This Row],[Başlangıç]]="","",(IF(Tablo2[[#This Row],[Bitiş]]="",($G$1-Tablo2[[#This Row],[Başlangıç]])*24,(Tablo2[[#This Row],[Bitiş]]-Tablo2[[#This Row],[Başlangıç]])*24)))</f>
        <v>60.233333333395422</v>
      </c>
    </row>
    <row r="674" spans="1:5" x14ac:dyDescent="0.3">
      <c r="A674">
        <v>313</v>
      </c>
      <c r="B674" t="s">
        <v>36</v>
      </c>
      <c r="C674" s="1">
        <v>44481.875</v>
      </c>
      <c r="D674" s="1">
        <v>44484.375</v>
      </c>
      <c r="E674" s="17">
        <f>IF(Tablo2[[#This Row],[Başlangıç]]="","",(IF(Tablo2[[#This Row],[Bitiş]]="",($G$1-Tablo2[[#This Row],[Başlangıç]])*24,(Tablo2[[#This Row],[Bitiş]]-Tablo2[[#This Row],[Başlangıç]])*24)))</f>
        <v>60</v>
      </c>
    </row>
    <row r="675" spans="1:5" x14ac:dyDescent="0.3">
      <c r="A675">
        <v>313</v>
      </c>
      <c r="B675" t="s">
        <v>84</v>
      </c>
      <c r="C675" s="1">
        <v>44486.298611111109</v>
      </c>
      <c r="D675" s="1">
        <v>44486.552083333336</v>
      </c>
      <c r="E675" s="17">
        <f>IF(Tablo2[[#This Row],[Başlangıç]]="","",(IF(Tablo2[[#This Row],[Bitiş]]="",($G$1-Tablo2[[#This Row],[Başlangıç]])*24,(Tablo2[[#This Row],[Bitiş]]-Tablo2[[#This Row],[Başlangıç]])*24)))</f>
        <v>6.0833333334303461</v>
      </c>
    </row>
    <row r="676" spans="1:5" x14ac:dyDescent="0.3">
      <c r="A676">
        <v>313</v>
      </c>
      <c r="B676" t="s">
        <v>179</v>
      </c>
      <c r="C676" s="1">
        <v>44481.875</v>
      </c>
      <c r="D676" s="1">
        <v>44481.895833333336</v>
      </c>
      <c r="E67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77" spans="1:5" x14ac:dyDescent="0.3">
      <c r="A677">
        <v>313</v>
      </c>
      <c r="B677" t="s">
        <v>68</v>
      </c>
      <c r="C677" s="1">
        <v>44486.577777777777</v>
      </c>
      <c r="D677" s="1">
        <v>44488.770833333336</v>
      </c>
      <c r="E677" s="17">
        <f>IF(Tablo2[[#This Row],[Başlangıç]]="","",(IF(Tablo2[[#This Row],[Bitiş]]="",($G$1-Tablo2[[#This Row],[Başlangıç]])*24,(Tablo2[[#This Row],[Bitiş]]-Tablo2[[#This Row],[Başlangıç]])*24)))</f>
        <v>52.633333333418705</v>
      </c>
    </row>
    <row r="678" spans="1:5" x14ac:dyDescent="0.3">
      <c r="A678">
        <v>313</v>
      </c>
      <c r="B678" t="s">
        <v>37</v>
      </c>
      <c r="C678" s="1">
        <v>44484.166666666664</v>
      </c>
      <c r="D678" s="1">
        <v>44485.708333333336</v>
      </c>
      <c r="E678" s="17">
        <f>IF(Tablo2[[#This Row],[Başlangıç]]="","",(IF(Tablo2[[#This Row],[Bitiş]]="",($G$1-Tablo2[[#This Row],[Başlangıç]])*24,(Tablo2[[#This Row],[Bitiş]]-Tablo2[[#This Row],[Başlangıç]])*24)))</f>
        <v>37.000000000116415</v>
      </c>
    </row>
    <row r="679" spans="1:5" x14ac:dyDescent="0.3">
      <c r="A679">
        <v>313</v>
      </c>
      <c r="B679" t="s">
        <v>65</v>
      </c>
      <c r="C679" s="1">
        <v>44486.145833333336</v>
      </c>
      <c r="D679" s="1">
        <v>44486.625</v>
      </c>
      <c r="E679" s="17">
        <f>IF(Tablo2[[#This Row],[Başlangıç]]="","",(IF(Tablo2[[#This Row],[Bitiş]]="",($G$1-Tablo2[[#This Row],[Başlangıç]])*24,(Tablo2[[#This Row],[Bitiş]]-Tablo2[[#This Row],[Başlangıç]])*24)))</f>
        <v>11.499999999941792</v>
      </c>
    </row>
    <row r="680" spans="1:5" x14ac:dyDescent="0.3">
      <c r="A680">
        <v>314</v>
      </c>
      <c r="B680" t="s">
        <v>36</v>
      </c>
      <c r="C680" s="1">
        <v>44482.28125</v>
      </c>
      <c r="D680" s="1">
        <v>44490.340277777781</v>
      </c>
      <c r="E680" s="17">
        <f>IF(Tablo2[[#This Row],[Başlangıç]]="","",(IF(Tablo2[[#This Row],[Bitiş]]="",($G$1-Tablo2[[#This Row],[Başlangıç]])*24,(Tablo2[[#This Row],[Bitiş]]-Tablo2[[#This Row],[Başlangıç]])*24)))</f>
        <v>193.41666666674428</v>
      </c>
    </row>
    <row r="681" spans="1:5" x14ac:dyDescent="0.3">
      <c r="A681">
        <v>314</v>
      </c>
      <c r="B681" t="s">
        <v>84</v>
      </c>
      <c r="C681" s="1">
        <v>44487.958333333336</v>
      </c>
      <c r="D681" s="1">
        <v>44490.368055555555</v>
      </c>
      <c r="E681" s="17">
        <f>IF(Tablo2[[#This Row],[Başlangıç]]="","",(IF(Tablo2[[#This Row],[Bitiş]]="",($G$1-Tablo2[[#This Row],[Başlangıç]])*24,(Tablo2[[#This Row],[Bitiş]]-Tablo2[[#This Row],[Başlangıç]])*24)))</f>
        <v>57.833333333255723</v>
      </c>
    </row>
    <row r="682" spans="1:5" x14ac:dyDescent="0.3">
      <c r="A682">
        <v>314</v>
      </c>
      <c r="B682" t="s">
        <v>179</v>
      </c>
      <c r="C682" s="1">
        <v>44482.28125</v>
      </c>
      <c r="D682" s="1">
        <v>44482.302083333336</v>
      </c>
      <c r="E6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83" spans="1:5" x14ac:dyDescent="0.3">
      <c r="A683">
        <v>314</v>
      </c>
      <c r="B683" t="s">
        <v>68</v>
      </c>
      <c r="C683" s="1">
        <v>44490.333333333336</v>
      </c>
      <c r="D683" s="1">
        <v>44490.555555555555</v>
      </c>
      <c r="E683" s="17">
        <f>IF(Tablo2[[#This Row],[Başlangıç]]="","",(IF(Tablo2[[#This Row],[Bitiş]]="",($G$1-Tablo2[[#This Row],[Başlangıç]])*24,(Tablo2[[#This Row],[Bitiş]]-Tablo2[[#This Row],[Başlangıç]])*24)))</f>
        <v>5.3333333332557231</v>
      </c>
    </row>
    <row r="684" spans="1:5" x14ac:dyDescent="0.3">
      <c r="A684">
        <v>314</v>
      </c>
      <c r="B684" t="s">
        <v>37</v>
      </c>
      <c r="C684" s="1">
        <v>44484.909722222219</v>
      </c>
      <c r="D684" s="1">
        <v>44486.534722222219</v>
      </c>
      <c r="E684" s="17">
        <f>IF(Tablo2[[#This Row],[Başlangıç]]="","",(IF(Tablo2[[#This Row],[Bitiş]]="",($G$1-Tablo2[[#This Row],[Başlangıç]])*24,(Tablo2[[#This Row],[Bitiş]]-Tablo2[[#This Row],[Başlangıç]])*24)))</f>
        <v>39</v>
      </c>
    </row>
    <row r="685" spans="1:5" x14ac:dyDescent="0.3">
      <c r="A685">
        <v>314</v>
      </c>
      <c r="B685" t="s">
        <v>65</v>
      </c>
      <c r="C685" s="1">
        <v>44485.333333333336</v>
      </c>
      <c r="D685" s="1">
        <v>44487.9375</v>
      </c>
      <c r="E685" s="17">
        <f>IF(Tablo2[[#This Row],[Başlangıç]]="","",(IF(Tablo2[[#This Row],[Bitiş]]="",($G$1-Tablo2[[#This Row],[Başlangıç]])*24,(Tablo2[[#This Row],[Bitiş]]-Tablo2[[#This Row],[Başlangıç]])*24)))</f>
        <v>62.499999999941792</v>
      </c>
    </row>
    <row r="686" spans="1:5" x14ac:dyDescent="0.3">
      <c r="A686">
        <v>315</v>
      </c>
      <c r="B686" t="s">
        <v>36</v>
      </c>
      <c r="C686" s="1">
        <v>44482.666666666664</v>
      </c>
      <c r="D686" s="1">
        <v>44487.673611111109</v>
      </c>
      <c r="E686" s="17">
        <f>IF(Tablo2[[#This Row],[Başlangıç]]="","",(IF(Tablo2[[#This Row],[Bitiş]]="",($G$1-Tablo2[[#This Row],[Başlangıç]])*24,(Tablo2[[#This Row],[Bitiş]]-Tablo2[[#This Row],[Başlangıç]])*24)))</f>
        <v>120.16666666668607</v>
      </c>
    </row>
    <row r="687" spans="1:5" x14ac:dyDescent="0.3">
      <c r="A687">
        <v>315</v>
      </c>
      <c r="B687" t="s">
        <v>84</v>
      </c>
      <c r="C687" s="1">
        <v>44487.284722222219</v>
      </c>
      <c r="D687" s="1">
        <v>44487.770833333336</v>
      </c>
      <c r="E687" s="17">
        <f>IF(Tablo2[[#This Row],[Başlangıç]]="","",(IF(Tablo2[[#This Row],[Bitiş]]="",($G$1-Tablo2[[#This Row],[Başlangıç]])*24,(Tablo2[[#This Row],[Bitiş]]-Tablo2[[#This Row],[Başlangıç]])*24)))</f>
        <v>11.666666666802485</v>
      </c>
    </row>
    <row r="688" spans="1:5" x14ac:dyDescent="0.3">
      <c r="A688">
        <v>315</v>
      </c>
      <c r="B688" t="s">
        <v>179</v>
      </c>
      <c r="C688" s="1">
        <v>44482.666666666664</v>
      </c>
      <c r="D688" s="1">
        <v>44482.6875</v>
      </c>
      <c r="E6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89" spans="1:5" x14ac:dyDescent="0.3">
      <c r="A689">
        <v>315</v>
      </c>
      <c r="B689" t="s">
        <v>68</v>
      </c>
      <c r="C689" s="1">
        <v>44487.640972222223</v>
      </c>
      <c r="D689" s="1">
        <v>44489.461805555555</v>
      </c>
      <c r="E689" s="17">
        <f>IF(Tablo2[[#This Row],[Başlangıç]]="","",(IF(Tablo2[[#This Row],[Bitiş]]="",($G$1-Tablo2[[#This Row],[Başlangıç]])*24,(Tablo2[[#This Row],[Bitiş]]-Tablo2[[#This Row],[Başlangıç]])*24)))</f>
        <v>43.699999999953434</v>
      </c>
    </row>
    <row r="690" spans="1:5" x14ac:dyDescent="0.3">
      <c r="A690">
        <v>315</v>
      </c>
      <c r="B690" t="s">
        <v>37</v>
      </c>
      <c r="C690" s="1">
        <v>44485.4375</v>
      </c>
      <c r="D690" s="1">
        <v>44486.805555555555</v>
      </c>
      <c r="E690" s="17">
        <f>IF(Tablo2[[#This Row],[Başlangıç]]="","",(IF(Tablo2[[#This Row],[Bitiş]]="",($G$1-Tablo2[[#This Row],[Başlangıç]])*24,(Tablo2[[#This Row],[Bitiş]]-Tablo2[[#This Row],[Başlangıç]])*24)))</f>
        <v>32.833333333313931</v>
      </c>
    </row>
    <row r="691" spans="1:5" x14ac:dyDescent="0.3">
      <c r="A691">
        <v>315</v>
      </c>
      <c r="B691" t="s">
        <v>65</v>
      </c>
      <c r="C691" s="1">
        <v>44486.666666666664</v>
      </c>
      <c r="D691" s="1">
        <v>44487.208333333336</v>
      </c>
      <c r="E691" s="17">
        <f>IF(Tablo2[[#This Row],[Başlangıç]]="","",(IF(Tablo2[[#This Row],[Bitiş]]="",($G$1-Tablo2[[#This Row],[Başlangıç]])*24,(Tablo2[[#This Row],[Bitiş]]-Tablo2[[#This Row],[Başlangıç]])*24)))</f>
        <v>13.000000000116415</v>
      </c>
    </row>
    <row r="692" spans="1:5" x14ac:dyDescent="0.3">
      <c r="A692">
        <v>316</v>
      </c>
      <c r="B692" t="s">
        <v>36</v>
      </c>
      <c r="C692" s="1">
        <v>44483.041666666664</v>
      </c>
      <c r="D692" s="1">
        <v>44487.416666666664</v>
      </c>
      <c r="E692" s="17">
        <f>IF(Tablo2[[#This Row],[Başlangıç]]="","",(IF(Tablo2[[#This Row],[Bitiş]]="",($G$1-Tablo2[[#This Row],[Başlangıç]])*24,(Tablo2[[#This Row],[Bitiş]]-Tablo2[[#This Row],[Başlangıç]])*24)))</f>
        <v>105</v>
      </c>
    </row>
    <row r="693" spans="1:5" x14ac:dyDescent="0.3">
      <c r="A693">
        <v>316</v>
      </c>
      <c r="B693" t="s">
        <v>84</v>
      </c>
      <c r="C693" s="1">
        <v>44506.75</v>
      </c>
      <c r="D693" s="1">
        <v>44506.895833333336</v>
      </c>
      <c r="E693" s="17">
        <f>IF(Tablo2[[#This Row],[Başlangıç]]="","",(IF(Tablo2[[#This Row],[Bitiş]]="",($G$1-Tablo2[[#This Row],[Başlangıç]])*24,(Tablo2[[#This Row],[Bitiş]]-Tablo2[[#This Row],[Başlangıç]])*24)))</f>
        <v>3.5000000000582077</v>
      </c>
    </row>
    <row r="694" spans="1:5" x14ac:dyDescent="0.3">
      <c r="A694">
        <v>316</v>
      </c>
      <c r="B694" t="s">
        <v>179</v>
      </c>
      <c r="C694" s="1">
        <v>44483.041666666664</v>
      </c>
      <c r="D694" s="1">
        <v>44483.0625</v>
      </c>
      <c r="E69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695" spans="1:5" x14ac:dyDescent="0.3">
      <c r="A695">
        <v>316</v>
      </c>
      <c r="B695" t="s">
        <v>68</v>
      </c>
      <c r="C695" s="1">
        <v>44492.597222222219</v>
      </c>
      <c r="D695" s="1">
        <v>44506.944444444445</v>
      </c>
      <c r="E695" s="17">
        <f>IF(Tablo2[[#This Row],[Başlangıç]]="","",(IF(Tablo2[[#This Row],[Bitiş]]="",($G$1-Tablo2[[#This Row],[Başlangıç]])*24,(Tablo2[[#This Row],[Bitiş]]-Tablo2[[#This Row],[Başlangıç]])*24)))</f>
        <v>344.33333333343035</v>
      </c>
    </row>
    <row r="696" spans="1:5" x14ac:dyDescent="0.3">
      <c r="A696">
        <v>316</v>
      </c>
      <c r="B696" t="s">
        <v>37</v>
      </c>
      <c r="C696" s="1">
        <v>44485.868055555555</v>
      </c>
      <c r="D696" s="1">
        <v>44506.800694444442</v>
      </c>
      <c r="E696" s="17">
        <f>IF(Tablo2[[#This Row],[Başlangıç]]="","",(IF(Tablo2[[#This Row],[Bitiş]]="",($G$1-Tablo2[[#This Row],[Başlangıç]])*24,(Tablo2[[#This Row],[Bitiş]]-Tablo2[[#This Row],[Başlangıç]])*24)))</f>
        <v>502.38333333330229</v>
      </c>
    </row>
    <row r="697" spans="1:5" x14ac:dyDescent="0.3">
      <c r="A697">
        <v>316</v>
      </c>
      <c r="B697" t="s">
        <v>65</v>
      </c>
      <c r="C697" s="1">
        <v>44489.34375</v>
      </c>
      <c r="D697" s="1">
        <v>44506.805555555555</v>
      </c>
      <c r="E697" s="17">
        <f>IF(Tablo2[[#This Row],[Başlangıç]]="","",(IF(Tablo2[[#This Row],[Bitiş]]="",($G$1-Tablo2[[#This Row],[Başlangıç]])*24,(Tablo2[[#This Row],[Bitiş]]-Tablo2[[#This Row],[Başlangıç]])*24)))</f>
        <v>419.08333333331393</v>
      </c>
    </row>
    <row r="698" spans="1:5" x14ac:dyDescent="0.3">
      <c r="A698">
        <v>317</v>
      </c>
      <c r="B698" t="s">
        <v>36</v>
      </c>
      <c r="C698" s="1">
        <v>44483.583333333336</v>
      </c>
      <c r="D698" s="1">
        <v>44492</v>
      </c>
      <c r="E698" s="17">
        <f>IF(Tablo2[[#This Row],[Başlangıç]]="","",(IF(Tablo2[[#This Row],[Bitiş]]="",($G$1-Tablo2[[#This Row],[Başlangıç]])*24,(Tablo2[[#This Row],[Bitiş]]-Tablo2[[#This Row],[Başlangıç]])*24)))</f>
        <v>201.99999999994179</v>
      </c>
    </row>
    <row r="699" spans="1:5" x14ac:dyDescent="0.3">
      <c r="A699">
        <v>317</v>
      </c>
      <c r="B699" t="s">
        <v>84</v>
      </c>
      <c r="C699" s="1">
        <v>44491.291666666664</v>
      </c>
      <c r="D699" s="1">
        <v>44491.743055555555</v>
      </c>
      <c r="E699" s="17">
        <f>IF(Tablo2[[#This Row],[Başlangıç]]="","",(IF(Tablo2[[#This Row],[Bitiş]]="",($G$1-Tablo2[[#This Row],[Başlangıç]])*24,(Tablo2[[#This Row],[Bitiş]]-Tablo2[[#This Row],[Başlangıç]])*24)))</f>
        <v>10.833333333372138</v>
      </c>
    </row>
    <row r="700" spans="1:5" x14ac:dyDescent="0.3">
      <c r="A700">
        <v>317</v>
      </c>
      <c r="B700" t="s">
        <v>179</v>
      </c>
      <c r="C700" s="1">
        <v>44483.583333333336</v>
      </c>
      <c r="D700" s="1">
        <v>44483.604166666664</v>
      </c>
      <c r="E70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01" spans="1:5" x14ac:dyDescent="0.3">
      <c r="A701">
        <v>317</v>
      </c>
      <c r="B701" t="s">
        <v>68</v>
      </c>
      <c r="C701" s="1">
        <v>44491.767361111109</v>
      </c>
      <c r="D701" s="1">
        <v>44493.236111111109</v>
      </c>
      <c r="E701" s="17">
        <f>IF(Tablo2[[#This Row],[Başlangıç]]="","",(IF(Tablo2[[#This Row],[Bitiş]]="",($G$1-Tablo2[[#This Row],[Başlangıç]])*24,(Tablo2[[#This Row],[Bitiş]]-Tablo2[[#This Row],[Başlangıç]])*24)))</f>
        <v>35.25</v>
      </c>
    </row>
    <row r="702" spans="1:5" x14ac:dyDescent="0.3">
      <c r="A702">
        <v>317</v>
      </c>
      <c r="B702" t="s">
        <v>37</v>
      </c>
      <c r="C702" s="1">
        <v>44485.944444444445</v>
      </c>
      <c r="D702" s="1">
        <v>44491.958333333336</v>
      </c>
      <c r="E702" s="17">
        <f>IF(Tablo2[[#This Row],[Başlangıç]]="","",(IF(Tablo2[[#This Row],[Bitiş]]="",($G$1-Tablo2[[#This Row],[Başlangıç]])*24,(Tablo2[[#This Row],[Bitiş]]-Tablo2[[#This Row],[Başlangıç]])*24)))</f>
        <v>144.33333333337214</v>
      </c>
    </row>
    <row r="703" spans="1:5" x14ac:dyDescent="0.3">
      <c r="A703">
        <v>317</v>
      </c>
      <c r="B703" t="s">
        <v>65</v>
      </c>
      <c r="C703" s="1">
        <v>44490.666666666664</v>
      </c>
      <c r="D703" s="1">
        <v>44491.274305555555</v>
      </c>
      <c r="E703" s="17">
        <f>IF(Tablo2[[#This Row],[Başlangıç]]="","",(IF(Tablo2[[#This Row],[Bitiş]]="",($G$1-Tablo2[[#This Row],[Başlangıç]])*24,(Tablo2[[#This Row],[Bitiş]]-Tablo2[[#This Row],[Başlangıç]])*24)))</f>
        <v>14.583333333372138</v>
      </c>
    </row>
    <row r="704" spans="1:5" x14ac:dyDescent="0.3">
      <c r="A704">
        <v>318</v>
      </c>
      <c r="B704" t="s">
        <v>36</v>
      </c>
      <c r="C704" s="1">
        <v>44483.833333333336</v>
      </c>
      <c r="D704" s="1">
        <v>44487.625</v>
      </c>
      <c r="E704" s="17">
        <f>IF(Tablo2[[#This Row],[Başlangıç]]="","",(IF(Tablo2[[#This Row],[Bitiş]]="",($G$1-Tablo2[[#This Row],[Başlangıç]])*24,(Tablo2[[#This Row],[Bitiş]]-Tablo2[[#This Row],[Başlangıç]])*24)))</f>
        <v>90.999999999941792</v>
      </c>
    </row>
    <row r="705" spans="1:5" x14ac:dyDescent="0.3">
      <c r="A705">
        <v>318</v>
      </c>
      <c r="B705" t="s">
        <v>84</v>
      </c>
      <c r="C705" s="1">
        <v>44488.701388888891</v>
      </c>
      <c r="D705" s="1">
        <v>44491.388888888891</v>
      </c>
      <c r="E705" s="17">
        <f>IF(Tablo2[[#This Row],[Başlangıç]]="","",(IF(Tablo2[[#This Row],[Bitiş]]="",($G$1-Tablo2[[#This Row],[Başlangıç]])*24,(Tablo2[[#This Row],[Bitiş]]-Tablo2[[#This Row],[Başlangıç]])*24)))</f>
        <v>64.5</v>
      </c>
    </row>
    <row r="706" spans="1:5" x14ac:dyDescent="0.3">
      <c r="A706">
        <v>318</v>
      </c>
      <c r="B706" t="s">
        <v>179</v>
      </c>
      <c r="C706" s="1">
        <v>44483.833333333336</v>
      </c>
      <c r="D706" s="1">
        <v>44483.854166666664</v>
      </c>
      <c r="E70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07" spans="1:5" x14ac:dyDescent="0.3">
      <c r="A707">
        <v>318</v>
      </c>
      <c r="B707" t="s">
        <v>68</v>
      </c>
      <c r="C707" s="1">
        <v>44489.729166666664</v>
      </c>
      <c r="D707" s="1">
        <v>44491.388888888891</v>
      </c>
      <c r="E707" s="17">
        <f>IF(Tablo2[[#This Row],[Başlangıç]]="","",(IF(Tablo2[[#This Row],[Bitiş]]="",($G$1-Tablo2[[#This Row],[Başlangıç]])*24,(Tablo2[[#This Row],[Bitiş]]-Tablo2[[#This Row],[Başlangıç]])*24)))</f>
        <v>39.833333333430346</v>
      </c>
    </row>
    <row r="708" spans="1:5" x14ac:dyDescent="0.3">
      <c r="A708">
        <v>318</v>
      </c>
      <c r="B708" t="s">
        <v>37</v>
      </c>
      <c r="C708" s="1">
        <v>44486.756944444445</v>
      </c>
      <c r="D708" s="1">
        <v>44490.520833333336</v>
      </c>
      <c r="E708" s="17">
        <f>IF(Tablo2[[#This Row],[Başlangıç]]="","",(IF(Tablo2[[#This Row],[Bitiş]]="",($G$1-Tablo2[[#This Row],[Başlangıç]])*24,(Tablo2[[#This Row],[Bitiş]]-Tablo2[[#This Row],[Başlangıç]])*24)))</f>
        <v>90.333333333372138</v>
      </c>
    </row>
    <row r="709" spans="1:5" x14ac:dyDescent="0.3">
      <c r="A709">
        <v>318</v>
      </c>
      <c r="B709" t="s">
        <v>65</v>
      </c>
      <c r="C709" s="1">
        <v>44488.013888888891</v>
      </c>
      <c r="D709" s="1">
        <v>44488.541666666664</v>
      </c>
      <c r="E709" s="17">
        <f>IF(Tablo2[[#This Row],[Başlangıç]]="","",(IF(Tablo2[[#This Row],[Bitiş]]="",($G$1-Tablo2[[#This Row],[Başlangıç]])*24,(Tablo2[[#This Row],[Bitiş]]-Tablo2[[#This Row],[Başlangıç]])*24)))</f>
        <v>12.666666666569654</v>
      </c>
    </row>
    <row r="710" spans="1:5" x14ac:dyDescent="0.3">
      <c r="A710">
        <v>319</v>
      </c>
      <c r="B710" t="s">
        <v>36</v>
      </c>
      <c r="C710" s="1">
        <v>44484.208333333336</v>
      </c>
      <c r="D710" s="1">
        <v>44495.138194444444</v>
      </c>
      <c r="E710" s="17">
        <f>IF(Tablo2[[#This Row],[Başlangıç]]="","",(IF(Tablo2[[#This Row],[Bitiş]]="",($G$1-Tablo2[[#This Row],[Başlangıç]])*24,(Tablo2[[#This Row],[Bitiş]]-Tablo2[[#This Row],[Başlangıç]])*24)))</f>
        <v>262.31666666659294</v>
      </c>
    </row>
    <row r="711" spans="1:5" x14ac:dyDescent="0.3">
      <c r="A711">
        <v>319</v>
      </c>
      <c r="B711" t="s">
        <v>84</v>
      </c>
      <c r="C711" s="1">
        <v>44493.256944444445</v>
      </c>
      <c r="D711" s="1">
        <v>44493.322916666664</v>
      </c>
      <c r="E711" s="17">
        <f>IF(Tablo2[[#This Row],[Başlangıç]]="","",(IF(Tablo2[[#This Row],[Bitiş]]="",($G$1-Tablo2[[#This Row],[Başlangıç]])*24,(Tablo2[[#This Row],[Bitiş]]-Tablo2[[#This Row],[Başlangıç]])*24)))</f>
        <v>1.5833333332557231</v>
      </c>
    </row>
    <row r="712" spans="1:5" x14ac:dyDescent="0.3">
      <c r="A712">
        <v>319</v>
      </c>
      <c r="B712" t="s">
        <v>179</v>
      </c>
      <c r="C712" s="1">
        <v>44484.208333333336</v>
      </c>
      <c r="D712" s="1">
        <v>44484.229166666664</v>
      </c>
      <c r="E71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13" spans="1:5" x14ac:dyDescent="0.3">
      <c r="A713">
        <v>319</v>
      </c>
      <c r="B713" t="s">
        <v>68</v>
      </c>
      <c r="C713" s="1">
        <v>44483.581250000003</v>
      </c>
      <c r="D713" s="1">
        <v>44495.0625</v>
      </c>
      <c r="E713" s="17">
        <f>IF(Tablo2[[#This Row],[Başlangıç]]="","",(IF(Tablo2[[#This Row],[Bitiş]]="",($G$1-Tablo2[[#This Row],[Başlangıç]])*24,(Tablo2[[#This Row],[Bitiş]]-Tablo2[[#This Row],[Başlangıç]])*24)))</f>
        <v>275.54999999993015</v>
      </c>
    </row>
    <row r="714" spans="1:5" x14ac:dyDescent="0.3">
      <c r="A714">
        <v>319</v>
      </c>
      <c r="B714" t="s">
        <v>37</v>
      </c>
      <c r="C714" s="1">
        <v>44486.222222222219</v>
      </c>
      <c r="D714" s="1">
        <v>44491.979166666664</v>
      </c>
      <c r="E714" s="17">
        <f>IF(Tablo2[[#This Row],[Başlangıç]]="","",(IF(Tablo2[[#This Row],[Bitiş]]="",($G$1-Tablo2[[#This Row],[Başlangıç]])*24,(Tablo2[[#This Row],[Bitiş]]-Tablo2[[#This Row],[Başlangıç]])*24)))</f>
        <v>138.16666666668607</v>
      </c>
    </row>
    <row r="715" spans="1:5" x14ac:dyDescent="0.3">
      <c r="A715">
        <v>319</v>
      </c>
      <c r="B715" t="s">
        <v>65</v>
      </c>
      <c r="C715" s="1">
        <v>44491.083333333336</v>
      </c>
      <c r="D715" s="1">
        <v>44493.208333333336</v>
      </c>
      <c r="E715" s="17">
        <f>IF(Tablo2[[#This Row],[Başlangıç]]="","",(IF(Tablo2[[#This Row],[Bitiş]]="",($G$1-Tablo2[[#This Row],[Başlangıç]])*24,(Tablo2[[#This Row],[Bitiş]]-Tablo2[[#This Row],[Başlangıç]])*24)))</f>
        <v>51</v>
      </c>
    </row>
    <row r="716" spans="1:5" x14ac:dyDescent="0.3">
      <c r="A716">
        <v>320</v>
      </c>
      <c r="B716" t="s">
        <v>36</v>
      </c>
      <c r="C716" s="1">
        <v>44484.614583333336</v>
      </c>
      <c r="D716" s="1">
        <v>44487.807638888888</v>
      </c>
      <c r="E716" s="17">
        <f>IF(Tablo2[[#This Row],[Başlangıç]]="","",(IF(Tablo2[[#This Row],[Bitiş]]="",($G$1-Tablo2[[#This Row],[Başlangıç]])*24,(Tablo2[[#This Row],[Bitiş]]-Tablo2[[#This Row],[Başlangıç]])*24)))</f>
        <v>76.633333333244082</v>
      </c>
    </row>
    <row r="717" spans="1:5" x14ac:dyDescent="0.3">
      <c r="A717">
        <v>320</v>
      </c>
      <c r="B717" t="s">
        <v>84</v>
      </c>
      <c r="C717" s="1">
        <v>44489.25</v>
      </c>
      <c r="D717" s="1">
        <v>44492.020833333336</v>
      </c>
      <c r="E717" s="17">
        <f>IF(Tablo2[[#This Row],[Başlangıç]]="","",(IF(Tablo2[[#This Row],[Bitiş]]="",($G$1-Tablo2[[#This Row],[Başlangıç]])*24,(Tablo2[[#This Row],[Bitiş]]-Tablo2[[#This Row],[Başlangıç]])*24)))</f>
        <v>66.500000000058208</v>
      </c>
    </row>
    <row r="718" spans="1:5" x14ac:dyDescent="0.3">
      <c r="A718">
        <v>320</v>
      </c>
      <c r="B718" t="s">
        <v>179</v>
      </c>
      <c r="C718" s="1">
        <v>44484.614583333336</v>
      </c>
      <c r="D718" s="1">
        <v>44484.635416666664</v>
      </c>
      <c r="E71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19" spans="1:5" x14ac:dyDescent="0.3">
      <c r="A719">
        <v>320</v>
      </c>
      <c r="B719" t="s">
        <v>68</v>
      </c>
      <c r="C719" s="1">
        <v>44491.868055555555</v>
      </c>
      <c r="D719" s="1">
        <v>44492.488194444442</v>
      </c>
      <c r="E719" s="17">
        <f>IF(Tablo2[[#This Row],[Başlangıç]]="","",(IF(Tablo2[[#This Row],[Bitiş]]="",($G$1-Tablo2[[#This Row],[Başlangıç]])*24,(Tablo2[[#This Row],[Bitiş]]-Tablo2[[#This Row],[Başlangıç]])*24)))</f>
        <v>14.883333333302289</v>
      </c>
    </row>
    <row r="720" spans="1:5" x14ac:dyDescent="0.3">
      <c r="A720">
        <v>320</v>
      </c>
      <c r="B720" t="s">
        <v>37</v>
      </c>
      <c r="C720" s="1">
        <v>44487.583333333336</v>
      </c>
      <c r="D720" s="1">
        <v>44490.819444444445</v>
      </c>
      <c r="E720" s="17">
        <f>IF(Tablo2[[#This Row],[Başlangıç]]="","",(IF(Tablo2[[#This Row],[Bitiş]]="",($G$1-Tablo2[[#This Row],[Başlangıç]])*24,(Tablo2[[#This Row],[Bitiş]]-Tablo2[[#This Row],[Başlangıç]])*24)))</f>
        <v>77.666666666627862</v>
      </c>
    </row>
    <row r="721" spans="1:5" x14ac:dyDescent="0.3">
      <c r="A721">
        <v>320</v>
      </c>
      <c r="B721" t="s">
        <v>65</v>
      </c>
      <c r="C721" s="1">
        <v>44488.270833333336</v>
      </c>
      <c r="D721" s="1">
        <v>44489.354166666664</v>
      </c>
      <c r="E721" s="17">
        <f>IF(Tablo2[[#This Row],[Başlangıç]]="","",(IF(Tablo2[[#This Row],[Bitiş]]="",($G$1-Tablo2[[#This Row],[Başlangıç]])*24,(Tablo2[[#This Row],[Bitiş]]-Tablo2[[#This Row],[Başlangıç]])*24)))</f>
        <v>25.999999999883585</v>
      </c>
    </row>
    <row r="722" spans="1:5" x14ac:dyDescent="0.3">
      <c r="A722">
        <v>321</v>
      </c>
      <c r="B722" t="s">
        <v>36</v>
      </c>
      <c r="C722" s="1">
        <v>44485</v>
      </c>
      <c r="D722" s="1">
        <v>44496.368055555555</v>
      </c>
      <c r="E722" s="17">
        <f>IF(Tablo2[[#This Row],[Başlangıç]]="","",(IF(Tablo2[[#This Row],[Bitiş]]="",($G$1-Tablo2[[#This Row],[Başlangıç]])*24,(Tablo2[[#This Row],[Bitiş]]-Tablo2[[#This Row],[Başlangıç]])*24)))</f>
        <v>272.83333333331393</v>
      </c>
    </row>
    <row r="723" spans="1:5" x14ac:dyDescent="0.3">
      <c r="A723">
        <v>321</v>
      </c>
      <c r="B723" t="s">
        <v>84</v>
      </c>
      <c r="C723" s="1">
        <v>44491.583333333336</v>
      </c>
      <c r="D723" s="1">
        <v>44506.979166666664</v>
      </c>
      <c r="E723" s="17">
        <f>IF(Tablo2[[#This Row],[Başlangıç]]="","",(IF(Tablo2[[#This Row],[Bitiş]]="",($G$1-Tablo2[[#This Row],[Başlangıç]])*24,(Tablo2[[#This Row],[Bitiş]]-Tablo2[[#This Row],[Başlangıç]])*24)))</f>
        <v>369.49999999988358</v>
      </c>
    </row>
    <row r="724" spans="1:5" x14ac:dyDescent="0.3">
      <c r="A724">
        <v>321</v>
      </c>
      <c r="B724" t="s">
        <v>179</v>
      </c>
      <c r="C724" s="1">
        <v>44485</v>
      </c>
      <c r="D724" s="1">
        <v>44485.020833333336</v>
      </c>
      <c r="E7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25" spans="1:5" x14ac:dyDescent="0.3">
      <c r="A725">
        <v>321</v>
      </c>
      <c r="B725" t="s">
        <v>68</v>
      </c>
      <c r="C725" s="1">
        <v>44492.124305555553</v>
      </c>
      <c r="D725" s="1">
        <v>44507.142361111109</v>
      </c>
      <c r="E725" s="17">
        <f>IF(Tablo2[[#This Row],[Başlangıç]]="","",(IF(Tablo2[[#This Row],[Bitiş]]="",($G$1-Tablo2[[#This Row],[Başlangıç]])*24,(Tablo2[[#This Row],[Bitiş]]-Tablo2[[#This Row],[Başlangıç]])*24)))</f>
        <v>360.43333333334886</v>
      </c>
    </row>
    <row r="726" spans="1:5" x14ac:dyDescent="0.3">
      <c r="A726">
        <v>321</v>
      </c>
      <c r="B726" t="s">
        <v>37</v>
      </c>
      <c r="C726" s="1">
        <v>44488.013888888891</v>
      </c>
      <c r="D726" s="1">
        <v>44492.729166666664</v>
      </c>
      <c r="E726" s="17">
        <f>IF(Tablo2[[#This Row],[Başlangıç]]="","",(IF(Tablo2[[#This Row],[Bitiş]]="",($G$1-Tablo2[[#This Row],[Başlangıç]])*24,(Tablo2[[#This Row],[Bitiş]]-Tablo2[[#This Row],[Başlangıç]])*24)))</f>
        <v>113.16666666656965</v>
      </c>
    </row>
    <row r="727" spans="1:5" x14ac:dyDescent="0.3">
      <c r="A727">
        <v>321</v>
      </c>
      <c r="B727" t="s">
        <v>65</v>
      </c>
      <c r="C727" s="1">
        <v>44491.006944444445</v>
      </c>
      <c r="D727" s="1">
        <v>44491.541666666664</v>
      </c>
      <c r="E727" s="17">
        <f>IF(Tablo2[[#This Row],[Başlangıç]]="","",(IF(Tablo2[[#This Row],[Bitiş]]="",($G$1-Tablo2[[#This Row],[Başlangıç]])*24,(Tablo2[[#This Row],[Bitiş]]-Tablo2[[#This Row],[Başlangıç]])*24)))</f>
        <v>12.833333333255723</v>
      </c>
    </row>
    <row r="728" spans="1:5" x14ac:dyDescent="0.3">
      <c r="A728">
        <v>322</v>
      </c>
      <c r="B728" t="s">
        <v>36</v>
      </c>
      <c r="C728" s="1">
        <v>44485.375</v>
      </c>
      <c r="D728" s="1">
        <v>44488.541666666664</v>
      </c>
      <c r="E728" s="17">
        <f>IF(Tablo2[[#This Row],[Başlangıç]]="","",(IF(Tablo2[[#This Row],[Bitiş]]="",($G$1-Tablo2[[#This Row],[Başlangıç]])*24,(Tablo2[[#This Row],[Bitiş]]-Tablo2[[#This Row],[Başlangıç]])*24)))</f>
        <v>75.999999999941792</v>
      </c>
    </row>
    <row r="729" spans="1:5" x14ac:dyDescent="0.3">
      <c r="A729">
        <v>322</v>
      </c>
      <c r="B729" t="s">
        <v>84</v>
      </c>
      <c r="C729" s="1">
        <v>44492.083333333336</v>
      </c>
      <c r="D729" s="1">
        <v>44492.583333333336</v>
      </c>
      <c r="E729" s="17">
        <f>IF(Tablo2[[#This Row],[Başlangıç]]="","",(IF(Tablo2[[#This Row],[Bitiş]]="",($G$1-Tablo2[[#This Row],[Başlangıç]])*24,(Tablo2[[#This Row],[Bitiş]]-Tablo2[[#This Row],[Başlangıç]])*24)))</f>
        <v>12</v>
      </c>
    </row>
    <row r="730" spans="1:5" x14ac:dyDescent="0.3">
      <c r="A730">
        <v>322</v>
      </c>
      <c r="B730" t="s">
        <v>179</v>
      </c>
      <c r="C730" s="1">
        <v>44485.375</v>
      </c>
      <c r="D730" s="1">
        <v>44485.395833333336</v>
      </c>
      <c r="E73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31" spans="1:5" x14ac:dyDescent="0.3">
      <c r="A731">
        <v>322</v>
      </c>
      <c r="B731" t="s">
        <v>68</v>
      </c>
      <c r="C731" s="1">
        <v>44493.020833333336</v>
      </c>
      <c r="D731" s="1">
        <v>44494.180555555555</v>
      </c>
      <c r="E731" s="17">
        <f>IF(Tablo2[[#This Row],[Başlangıç]]="","",(IF(Tablo2[[#This Row],[Bitiş]]="",($G$1-Tablo2[[#This Row],[Başlangıç]])*24,(Tablo2[[#This Row],[Bitiş]]-Tablo2[[#This Row],[Başlangıç]])*24)))</f>
        <v>27.833333333255723</v>
      </c>
    </row>
    <row r="732" spans="1:5" x14ac:dyDescent="0.3">
      <c r="A732">
        <v>322</v>
      </c>
      <c r="B732" t="s">
        <v>37</v>
      </c>
      <c r="C732" s="1">
        <v>44488.513888888891</v>
      </c>
      <c r="D732" s="1">
        <v>44492.305555555555</v>
      </c>
      <c r="E732" s="17">
        <f>IF(Tablo2[[#This Row],[Başlangıç]]="","",(IF(Tablo2[[#This Row],[Bitiş]]="",($G$1-Tablo2[[#This Row],[Başlangıç]])*24,(Tablo2[[#This Row],[Bitiş]]-Tablo2[[#This Row],[Başlangıç]])*24)))</f>
        <v>90.999999999941792</v>
      </c>
    </row>
    <row r="733" spans="1:5" x14ac:dyDescent="0.3">
      <c r="A733">
        <v>322</v>
      </c>
      <c r="B733" t="s">
        <v>65</v>
      </c>
      <c r="C733" s="1">
        <v>44491.003472222219</v>
      </c>
      <c r="D733" s="1">
        <v>44492.510416666664</v>
      </c>
      <c r="E733" s="17">
        <f>IF(Tablo2[[#This Row],[Başlangıç]]="","",(IF(Tablo2[[#This Row],[Bitiş]]="",($G$1-Tablo2[[#This Row],[Başlangıç]])*24,(Tablo2[[#This Row],[Bitiş]]-Tablo2[[#This Row],[Başlangıç]])*24)))</f>
        <v>36.166666666686069</v>
      </c>
    </row>
    <row r="734" spans="1:5" x14ac:dyDescent="0.3">
      <c r="A734">
        <v>323</v>
      </c>
      <c r="B734" t="s">
        <v>36</v>
      </c>
      <c r="C734" s="1">
        <v>44488.006944444445</v>
      </c>
      <c r="D734" s="1">
        <v>44489.513888888891</v>
      </c>
      <c r="E734" s="17">
        <f>IF(Tablo2[[#This Row],[Başlangıç]]="","",(IF(Tablo2[[#This Row],[Bitiş]]="",($G$1-Tablo2[[#This Row],[Başlangıç]])*24,(Tablo2[[#This Row],[Bitiş]]-Tablo2[[#This Row],[Başlangıç]])*24)))</f>
        <v>36.166666666686069</v>
      </c>
    </row>
    <row r="735" spans="1:5" x14ac:dyDescent="0.3">
      <c r="A735">
        <v>323</v>
      </c>
      <c r="B735" t="s">
        <v>84</v>
      </c>
      <c r="C735" s="1">
        <v>44491.080555555556</v>
      </c>
      <c r="D735" s="1">
        <v>44507.743055555555</v>
      </c>
      <c r="E735" s="17">
        <f>IF(Tablo2[[#This Row],[Başlangıç]]="","",(IF(Tablo2[[#This Row],[Bitiş]]="",($G$1-Tablo2[[#This Row],[Başlangıç]])*24,(Tablo2[[#This Row],[Bitiş]]-Tablo2[[#This Row],[Başlangıç]])*24)))</f>
        <v>399.89999999996508</v>
      </c>
    </row>
    <row r="736" spans="1:5" x14ac:dyDescent="0.3">
      <c r="A736">
        <v>323</v>
      </c>
      <c r="B736" t="s">
        <v>179</v>
      </c>
      <c r="C736" s="1">
        <v>44488.006944444445</v>
      </c>
      <c r="D736" s="1">
        <v>44488.027777777781</v>
      </c>
      <c r="E7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37" spans="1:5" x14ac:dyDescent="0.3">
      <c r="A737">
        <v>323</v>
      </c>
      <c r="B737" t="s">
        <v>68</v>
      </c>
      <c r="C737" s="1">
        <v>44507.666666666664</v>
      </c>
      <c r="D737" s="1">
        <v>44507.902777777781</v>
      </c>
      <c r="E737" s="17">
        <f>IF(Tablo2[[#This Row],[Başlangıç]]="","",(IF(Tablo2[[#This Row],[Bitiş]]="",($G$1-Tablo2[[#This Row],[Başlangıç]])*24,(Tablo2[[#This Row],[Bitiş]]-Tablo2[[#This Row],[Başlangıç]])*24)))</f>
        <v>5.6666666668024845</v>
      </c>
    </row>
    <row r="738" spans="1:5" x14ac:dyDescent="0.3">
      <c r="A738">
        <v>323</v>
      </c>
      <c r="B738" t="s">
        <v>37</v>
      </c>
      <c r="C738" s="1">
        <v>44489.006944444445</v>
      </c>
      <c r="D738" s="1">
        <v>44492.3125</v>
      </c>
      <c r="E738" s="17">
        <f>IF(Tablo2[[#This Row],[Başlangıç]]="","",(IF(Tablo2[[#This Row],[Bitiş]]="",($G$1-Tablo2[[#This Row],[Başlangıç]])*24,(Tablo2[[#This Row],[Bitiş]]-Tablo2[[#This Row],[Başlangıç]])*24)))</f>
        <v>79.333333333313931</v>
      </c>
    </row>
    <row r="739" spans="1:5" x14ac:dyDescent="0.3">
      <c r="A739">
        <v>323</v>
      </c>
      <c r="B739" t="s">
        <v>65</v>
      </c>
      <c r="C739" s="1">
        <v>44490.166666666664</v>
      </c>
      <c r="D739" s="1">
        <v>44491.041666666664</v>
      </c>
      <c r="E739" s="17">
        <f>IF(Tablo2[[#This Row],[Başlangıç]]="","",(IF(Tablo2[[#This Row],[Bitiş]]="",($G$1-Tablo2[[#This Row],[Başlangıç]])*24,(Tablo2[[#This Row],[Bitiş]]-Tablo2[[#This Row],[Başlangıç]])*24)))</f>
        <v>21</v>
      </c>
    </row>
    <row r="740" spans="1:5" x14ac:dyDescent="0.3">
      <c r="A740">
        <v>324</v>
      </c>
      <c r="B740" t="s">
        <v>36</v>
      </c>
      <c r="C740" s="1">
        <v>44488.333333333336</v>
      </c>
      <c r="D740" s="1">
        <v>44497.034722222219</v>
      </c>
      <c r="E740" s="17">
        <f>IF(Tablo2[[#This Row],[Başlangıç]]="","",(IF(Tablo2[[#This Row],[Bitiş]]="",($G$1-Tablo2[[#This Row],[Başlangıç]])*24,(Tablo2[[#This Row],[Bitiş]]-Tablo2[[#This Row],[Başlangıç]])*24)))</f>
        <v>208.83333333319752</v>
      </c>
    </row>
    <row r="741" spans="1:5" x14ac:dyDescent="0.3">
      <c r="A741">
        <v>324</v>
      </c>
      <c r="B741" t="s">
        <v>84</v>
      </c>
      <c r="C741" s="1">
        <v>44493.902777777781</v>
      </c>
      <c r="D741" s="1">
        <v>44507.950694444444</v>
      </c>
      <c r="E741" s="17">
        <f>IF(Tablo2[[#This Row],[Başlangıç]]="","",(IF(Tablo2[[#This Row],[Bitiş]]="",($G$1-Tablo2[[#This Row],[Başlangıç]])*24,(Tablo2[[#This Row],[Bitiş]]-Tablo2[[#This Row],[Başlangıç]])*24)))</f>
        <v>337.14999999990687</v>
      </c>
    </row>
    <row r="742" spans="1:5" x14ac:dyDescent="0.3">
      <c r="A742">
        <v>324</v>
      </c>
      <c r="B742" t="s">
        <v>179</v>
      </c>
      <c r="C742" s="1">
        <v>44488.333333333336</v>
      </c>
      <c r="D742" s="1">
        <v>44488.354166666664</v>
      </c>
      <c r="E74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43" spans="1:5" x14ac:dyDescent="0.3">
      <c r="A743">
        <v>324</v>
      </c>
      <c r="B743" t="s">
        <v>68</v>
      </c>
      <c r="C743" s="1">
        <v>44492.020833333336</v>
      </c>
      <c r="D743" s="1">
        <v>44509.711805555555</v>
      </c>
      <c r="E743" s="17">
        <f>IF(Tablo2[[#This Row],[Başlangıç]]="","",(IF(Tablo2[[#This Row],[Bitiş]]="",($G$1-Tablo2[[#This Row],[Başlangıç]])*24,(Tablo2[[#This Row],[Bitiş]]-Tablo2[[#This Row],[Başlangıç]])*24)))</f>
        <v>424.58333333325572</v>
      </c>
    </row>
    <row r="744" spans="1:5" x14ac:dyDescent="0.3">
      <c r="A744">
        <v>324</v>
      </c>
      <c r="B744" t="s">
        <v>37</v>
      </c>
      <c r="C744" s="1">
        <v>44489.444444444445</v>
      </c>
      <c r="D744" s="1">
        <v>44493.847222222219</v>
      </c>
      <c r="E744" s="17">
        <f>IF(Tablo2[[#This Row],[Başlangıç]]="","",(IF(Tablo2[[#This Row],[Bitiş]]="",($G$1-Tablo2[[#This Row],[Başlangıç]])*24,(Tablo2[[#This Row],[Bitiş]]-Tablo2[[#This Row],[Başlangıç]])*24)))</f>
        <v>105.66666666656965</v>
      </c>
    </row>
    <row r="745" spans="1:5" x14ac:dyDescent="0.3">
      <c r="A745">
        <v>324</v>
      </c>
      <c r="B745" t="s">
        <v>65</v>
      </c>
      <c r="C745" s="1">
        <v>44507.791666666664</v>
      </c>
      <c r="D745" s="1">
        <v>44507.972222222219</v>
      </c>
      <c r="E745" s="17">
        <f>IF(Tablo2[[#This Row],[Başlangıç]]="","",(IF(Tablo2[[#This Row],[Bitiş]]="",($G$1-Tablo2[[#This Row],[Başlangıç]])*24,(Tablo2[[#This Row],[Bitiş]]-Tablo2[[#This Row],[Başlangıç]])*24)))</f>
        <v>4.3333333333139308</v>
      </c>
    </row>
    <row r="746" spans="1:5" x14ac:dyDescent="0.3">
      <c r="A746">
        <v>325</v>
      </c>
      <c r="B746" t="s">
        <v>36</v>
      </c>
      <c r="C746" s="1">
        <v>44488.833333333336</v>
      </c>
      <c r="D746" s="1">
        <v>44490.017361111109</v>
      </c>
      <c r="E746" s="17">
        <f>IF(Tablo2[[#This Row],[Başlangıç]]="","",(IF(Tablo2[[#This Row],[Bitiş]]="",($G$1-Tablo2[[#This Row],[Başlangıç]])*24,(Tablo2[[#This Row],[Bitiş]]-Tablo2[[#This Row],[Başlangıç]])*24)))</f>
        <v>28.416666666569654</v>
      </c>
    </row>
    <row r="747" spans="1:5" x14ac:dyDescent="0.3">
      <c r="A747">
        <v>325</v>
      </c>
      <c r="B747" t="s">
        <v>84</v>
      </c>
      <c r="C747" s="1"/>
      <c r="D747" s="1"/>
      <c r="E747" s="17" t="str">
        <f>IF(Tablo2[[#This Row],[Başlangıç]]="","",(IF(Tablo2[[#This Row],[Bitiş]]="",($G$1-Tablo2[[#This Row],[Başlangıç]])*24,(Tablo2[[#This Row],[Bitiş]]-Tablo2[[#This Row],[Başlangıç]])*24)))</f>
        <v/>
      </c>
    </row>
    <row r="748" spans="1:5" x14ac:dyDescent="0.3">
      <c r="A748">
        <v>325</v>
      </c>
      <c r="B748" t="s">
        <v>179</v>
      </c>
      <c r="C748" s="1">
        <v>44488.833333333336</v>
      </c>
      <c r="D748" s="1">
        <v>44488.854166666664</v>
      </c>
      <c r="E74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49" spans="1:5" x14ac:dyDescent="0.3">
      <c r="A749">
        <v>325</v>
      </c>
      <c r="B749" t="s">
        <v>68</v>
      </c>
      <c r="C749" s="1">
        <v>44492.634027777778</v>
      </c>
      <c r="D749" s="1">
        <v>44494.145833333336</v>
      </c>
      <c r="E749" s="17">
        <f>IF(Tablo2[[#This Row],[Başlangıç]]="","",(IF(Tablo2[[#This Row],[Bitiş]]="",($G$1-Tablo2[[#This Row],[Başlangıç]])*24,(Tablo2[[#This Row],[Bitiş]]-Tablo2[[#This Row],[Başlangıç]])*24)))</f>
        <v>36.28333333338378</v>
      </c>
    </row>
    <row r="750" spans="1:5" x14ac:dyDescent="0.3">
      <c r="A750">
        <v>325</v>
      </c>
      <c r="B750" t="s">
        <v>37</v>
      </c>
      <c r="C750" s="1">
        <v>44488.824999999997</v>
      </c>
      <c r="D750" s="1">
        <v>44512.01666666667</v>
      </c>
      <c r="E750" s="17">
        <f>IF(Tablo2[[#This Row],[Başlangıç]]="","",(IF(Tablo2[[#This Row],[Bitiş]]="",($G$1-Tablo2[[#This Row],[Başlangıç]])*24,(Tablo2[[#This Row],[Bitiş]]-Tablo2[[#This Row],[Başlangıç]])*24)))</f>
        <v>556.60000000015134</v>
      </c>
    </row>
    <row r="751" spans="1:5" x14ac:dyDescent="0.3">
      <c r="A751">
        <v>325</v>
      </c>
      <c r="B751" t="s">
        <v>65</v>
      </c>
      <c r="C751" s="1"/>
      <c r="D751" s="1"/>
      <c r="E751" s="17" t="str">
        <f>IF(Tablo2[[#This Row],[Başlangıç]]="","",(IF(Tablo2[[#This Row],[Bitiş]]="",($G$1-Tablo2[[#This Row],[Başlangıç]])*24,(Tablo2[[#This Row],[Bitiş]]-Tablo2[[#This Row],[Başlangıç]])*24)))</f>
        <v/>
      </c>
    </row>
    <row r="752" spans="1:5" x14ac:dyDescent="0.3">
      <c r="A752">
        <v>326</v>
      </c>
      <c r="B752" t="s">
        <v>36</v>
      </c>
      <c r="C752" s="1">
        <v>44489.6875</v>
      </c>
      <c r="D752" s="1">
        <v>44490.340277777781</v>
      </c>
      <c r="E752" s="17">
        <f>IF(Tablo2[[#This Row],[Başlangıç]]="","",(IF(Tablo2[[#This Row],[Bitiş]]="",($G$1-Tablo2[[#This Row],[Başlangıç]])*24,(Tablo2[[#This Row],[Bitiş]]-Tablo2[[#This Row],[Başlangıç]])*24)))</f>
        <v>15.666666666744277</v>
      </c>
    </row>
    <row r="753" spans="1:5" x14ac:dyDescent="0.3">
      <c r="A753">
        <v>326</v>
      </c>
      <c r="B753" t="s">
        <v>84</v>
      </c>
      <c r="C753" s="1"/>
      <c r="D753" s="1"/>
      <c r="E753" s="17" t="str">
        <f>IF(Tablo2[[#This Row],[Başlangıç]]="","",(IF(Tablo2[[#This Row],[Bitiş]]="",($G$1-Tablo2[[#This Row],[Başlangıç]])*24,(Tablo2[[#This Row],[Bitiş]]-Tablo2[[#This Row],[Başlangıç]])*24)))</f>
        <v/>
      </c>
    </row>
    <row r="754" spans="1:5" x14ac:dyDescent="0.3">
      <c r="A754">
        <v>326</v>
      </c>
      <c r="B754" t="s">
        <v>179</v>
      </c>
      <c r="C754" s="1">
        <v>44489.708333333336</v>
      </c>
      <c r="D754" s="1">
        <v>44489.729166666664</v>
      </c>
      <c r="E75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55" spans="1:5" x14ac:dyDescent="0.3">
      <c r="A755">
        <v>326</v>
      </c>
      <c r="B755" t="s">
        <v>68</v>
      </c>
      <c r="C755" s="1">
        <v>44493.089583333334</v>
      </c>
      <c r="D755" s="1">
        <v>44495.611111111109</v>
      </c>
      <c r="E755" s="17">
        <f>IF(Tablo2[[#This Row],[Başlangıç]]="","",(IF(Tablo2[[#This Row],[Bitiş]]="",($G$1-Tablo2[[#This Row],[Başlangıç]])*24,(Tablo2[[#This Row],[Bitiş]]-Tablo2[[#This Row],[Başlangıç]])*24)))</f>
        <v>60.516666666604578</v>
      </c>
    </row>
    <row r="756" spans="1:5" x14ac:dyDescent="0.3">
      <c r="A756">
        <v>326</v>
      </c>
      <c r="B756" t="s">
        <v>37</v>
      </c>
      <c r="C756" s="1">
        <v>44490.118055555555</v>
      </c>
      <c r="D756" s="1">
        <v>44492.055555555555</v>
      </c>
      <c r="E756" s="17">
        <f>IF(Tablo2[[#This Row],[Başlangıç]]="","",(IF(Tablo2[[#This Row],[Bitiş]]="",($G$1-Tablo2[[#This Row],[Başlangıç]])*24,(Tablo2[[#This Row],[Bitiş]]-Tablo2[[#This Row],[Başlangıç]])*24)))</f>
        <v>46.5</v>
      </c>
    </row>
    <row r="757" spans="1:5" x14ac:dyDescent="0.3">
      <c r="A757">
        <v>326</v>
      </c>
      <c r="B757" t="s">
        <v>65</v>
      </c>
      <c r="C757" s="1">
        <v>44492.208333333336</v>
      </c>
      <c r="D757" s="1">
        <v>44492.229166666664</v>
      </c>
      <c r="E757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58" spans="1:5" x14ac:dyDescent="0.3">
      <c r="A758">
        <v>327</v>
      </c>
      <c r="B758" t="s">
        <v>36</v>
      </c>
      <c r="C758" s="1">
        <v>44489.6875</v>
      </c>
      <c r="D758" s="1">
        <v>44496.041666666664</v>
      </c>
      <c r="E758" s="17">
        <f>IF(Tablo2[[#This Row],[Başlangıç]]="","",(IF(Tablo2[[#This Row],[Bitiş]]="",($G$1-Tablo2[[#This Row],[Başlangıç]])*24,(Tablo2[[#This Row],[Bitiş]]-Tablo2[[#This Row],[Başlangıç]])*24)))</f>
        <v>152.49999999994179</v>
      </c>
    </row>
    <row r="759" spans="1:5" x14ac:dyDescent="0.3">
      <c r="A759">
        <v>327</v>
      </c>
      <c r="B759" t="s">
        <v>84</v>
      </c>
      <c r="C759" s="1">
        <v>44493.604166666664</v>
      </c>
      <c r="D759" s="1">
        <v>44493.690972222219</v>
      </c>
      <c r="E759" s="17">
        <f>IF(Tablo2[[#This Row],[Başlangıç]]="","",(IF(Tablo2[[#This Row],[Bitiş]]="",($G$1-Tablo2[[#This Row],[Başlangıç]])*24,(Tablo2[[#This Row],[Bitiş]]-Tablo2[[#This Row],[Başlangıç]])*24)))</f>
        <v>2.0833333333139308</v>
      </c>
    </row>
    <row r="760" spans="1:5" x14ac:dyDescent="0.3">
      <c r="A760">
        <v>327</v>
      </c>
      <c r="B760" t="s">
        <v>179</v>
      </c>
      <c r="C760" s="1">
        <v>44489.6875</v>
      </c>
      <c r="D760" s="1">
        <v>44489.708333333336</v>
      </c>
      <c r="E76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61" spans="1:5" x14ac:dyDescent="0.3">
      <c r="A761">
        <v>327</v>
      </c>
      <c r="B761" t="s">
        <v>68</v>
      </c>
      <c r="C761" s="1">
        <v>44493.708333333336</v>
      </c>
      <c r="D761" s="1">
        <v>44496.416666666664</v>
      </c>
      <c r="E761" s="17">
        <f>IF(Tablo2[[#This Row],[Başlangıç]]="","",(IF(Tablo2[[#This Row],[Bitiş]]="",($G$1-Tablo2[[#This Row],[Başlangıç]])*24,(Tablo2[[#This Row],[Bitiş]]-Tablo2[[#This Row],[Başlangıç]])*24)))</f>
        <v>64.999999999883585</v>
      </c>
    </row>
    <row r="762" spans="1:5" x14ac:dyDescent="0.3">
      <c r="A762">
        <v>327</v>
      </c>
      <c r="B762" t="s">
        <v>37</v>
      </c>
      <c r="C762" s="1">
        <v>44490.243055555555</v>
      </c>
      <c r="D762" s="1">
        <v>44493.451388888891</v>
      </c>
      <c r="E762" s="17">
        <f>IF(Tablo2[[#This Row],[Başlangıç]]="","",(IF(Tablo2[[#This Row],[Bitiş]]="",($G$1-Tablo2[[#This Row],[Başlangıç]])*24,(Tablo2[[#This Row],[Bitiş]]-Tablo2[[#This Row],[Başlangıç]])*24)))</f>
        <v>77.000000000058208</v>
      </c>
    </row>
    <row r="763" spans="1:5" x14ac:dyDescent="0.3">
      <c r="A763">
        <v>327</v>
      </c>
      <c r="B763" t="s">
        <v>65</v>
      </c>
      <c r="C763" s="1">
        <v>-612944.01041666663</v>
      </c>
      <c r="D763" s="1">
        <v>44493.583333333336</v>
      </c>
      <c r="E763" s="17">
        <f>IF(Tablo2[[#This Row],[Başlangıç]]="","",(IF(Tablo2[[#This Row],[Bitiş]]="",($G$1-Tablo2[[#This Row],[Başlangıç]])*24,(Tablo2[[#This Row],[Bitiş]]-Tablo2[[#This Row],[Başlangıç]])*24)))</f>
        <v>15778502.25</v>
      </c>
    </row>
    <row r="764" spans="1:5" x14ac:dyDescent="0.3">
      <c r="A764">
        <v>328</v>
      </c>
      <c r="B764" t="s">
        <v>36</v>
      </c>
      <c r="C764" s="1">
        <v>44490.076388888891</v>
      </c>
      <c r="D764" s="1">
        <v>44491.079861111109</v>
      </c>
      <c r="E764" s="17">
        <f>IF(Tablo2[[#This Row],[Başlangıç]]="","",(IF(Tablo2[[#This Row],[Bitiş]]="",($G$1-Tablo2[[#This Row],[Başlangıç]])*24,(Tablo2[[#This Row],[Bitiş]]-Tablo2[[#This Row],[Başlangıç]])*24)))</f>
        <v>24.083333333255723</v>
      </c>
    </row>
    <row r="765" spans="1:5" x14ac:dyDescent="0.3">
      <c r="A765">
        <v>328</v>
      </c>
      <c r="B765" t="s">
        <v>84</v>
      </c>
      <c r="C765" s="1"/>
      <c r="D765" s="1"/>
      <c r="E765" s="17" t="str">
        <f>IF(Tablo2[[#This Row],[Başlangıç]]="","",(IF(Tablo2[[#This Row],[Bitiş]]="",($G$1-Tablo2[[#This Row],[Başlangıç]])*24,(Tablo2[[#This Row],[Bitiş]]-Tablo2[[#This Row],[Başlangıç]])*24)))</f>
        <v/>
      </c>
    </row>
    <row r="766" spans="1:5" x14ac:dyDescent="0.3">
      <c r="A766">
        <v>328</v>
      </c>
      <c r="B766" t="s">
        <v>179</v>
      </c>
      <c r="C766" s="1">
        <v>44490.076388888891</v>
      </c>
      <c r="D766" s="1">
        <v>44490.097222222219</v>
      </c>
      <c r="E76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67" spans="1:5" x14ac:dyDescent="0.3">
      <c r="A767">
        <v>328</v>
      </c>
      <c r="B767" t="s">
        <v>68</v>
      </c>
      <c r="C767" s="1">
        <v>44495.226388888892</v>
      </c>
      <c r="D767" s="1">
        <v>44496.854861111111</v>
      </c>
      <c r="E767" s="17">
        <f>IF(Tablo2[[#This Row],[Başlangıç]]="","",(IF(Tablo2[[#This Row],[Bitiş]]="",($G$1-Tablo2[[#This Row],[Başlangıç]])*24,(Tablo2[[#This Row],[Bitiş]]-Tablo2[[#This Row],[Başlangıç]])*24)))</f>
        <v>39.083333333255723</v>
      </c>
    </row>
    <row r="768" spans="1:5" x14ac:dyDescent="0.3">
      <c r="A768">
        <v>328</v>
      </c>
      <c r="B768" t="s">
        <v>37</v>
      </c>
      <c r="C768" s="1">
        <v>44490.875</v>
      </c>
      <c r="D768" s="1">
        <v>44493.607638888891</v>
      </c>
      <c r="E768" s="17">
        <f>IF(Tablo2[[#This Row],[Başlangıç]]="","",(IF(Tablo2[[#This Row],[Bitiş]]="",($G$1-Tablo2[[#This Row],[Başlangıç]])*24,(Tablo2[[#This Row],[Bitiş]]-Tablo2[[#This Row],[Başlangıç]])*24)))</f>
        <v>65.583333333372138</v>
      </c>
    </row>
    <row r="769" spans="1:5" x14ac:dyDescent="0.3">
      <c r="A769">
        <v>328</v>
      </c>
      <c r="B769" t="s">
        <v>65</v>
      </c>
      <c r="C769" s="1"/>
      <c r="D769" s="1"/>
      <c r="E769" s="17" t="str">
        <f>IF(Tablo2[[#This Row],[Başlangıç]]="","",(IF(Tablo2[[#This Row],[Bitiş]]="",($G$1-Tablo2[[#This Row],[Başlangıç]])*24,(Tablo2[[#This Row],[Bitiş]]-Tablo2[[#This Row],[Başlangıç]])*24)))</f>
        <v/>
      </c>
    </row>
    <row r="770" spans="1:5" x14ac:dyDescent="0.3">
      <c r="A770">
        <v>329</v>
      </c>
      <c r="B770" t="s">
        <v>36</v>
      </c>
      <c r="C770" s="1">
        <v>44490.402083333334</v>
      </c>
      <c r="D770" s="1">
        <v>44491.515972222223</v>
      </c>
      <c r="E770" s="17">
        <f>IF(Tablo2[[#This Row],[Başlangıç]]="","",(IF(Tablo2[[#This Row],[Bitiş]]="",($G$1-Tablo2[[#This Row],[Başlangıç]])*24,(Tablo2[[#This Row],[Bitiş]]-Tablo2[[#This Row],[Başlangıç]])*24)))</f>
        <v>26.733333333337214</v>
      </c>
    </row>
    <row r="771" spans="1:5" x14ac:dyDescent="0.3">
      <c r="A771">
        <v>329</v>
      </c>
      <c r="B771" t="s">
        <v>84</v>
      </c>
      <c r="C771" s="1"/>
      <c r="D771" s="1"/>
      <c r="E771" s="17" t="str">
        <f>IF(Tablo2[[#This Row],[Başlangıç]]="","",(IF(Tablo2[[#This Row],[Bitiş]]="",($G$1-Tablo2[[#This Row],[Başlangıç]])*24,(Tablo2[[#This Row],[Bitiş]]-Tablo2[[#This Row],[Başlangıç]])*24)))</f>
        <v/>
      </c>
    </row>
    <row r="772" spans="1:5" x14ac:dyDescent="0.3">
      <c r="A772">
        <v>329</v>
      </c>
      <c r="B772" t="s">
        <v>179</v>
      </c>
      <c r="C772" s="1">
        <v>44490.402083333334</v>
      </c>
      <c r="D772" s="1">
        <v>44490.42291666667</v>
      </c>
      <c r="E7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73" spans="1:5" x14ac:dyDescent="0.3">
      <c r="A773">
        <v>329</v>
      </c>
      <c r="B773" t="s">
        <v>68</v>
      </c>
      <c r="C773" s="1"/>
      <c r="D773" s="1"/>
      <c r="E773" s="17" t="str">
        <f>IF(Tablo2[[#This Row],[Başlangıç]]="","",(IF(Tablo2[[#This Row],[Bitiş]]="",($G$1-Tablo2[[#This Row],[Başlangıç]])*24,(Tablo2[[#This Row],[Bitiş]]-Tablo2[[#This Row],[Başlangıç]])*24)))</f>
        <v/>
      </c>
    </row>
    <row r="774" spans="1:5" x14ac:dyDescent="0.3">
      <c r="A774">
        <v>329</v>
      </c>
      <c r="B774" t="s">
        <v>37</v>
      </c>
      <c r="C774" s="1">
        <v>44491.607638888891</v>
      </c>
      <c r="D774" s="1">
        <v>44494.541666666664</v>
      </c>
      <c r="E774" s="17">
        <f>IF(Tablo2[[#This Row],[Başlangıç]]="","",(IF(Tablo2[[#This Row],[Bitiş]]="",($G$1-Tablo2[[#This Row],[Başlangıç]])*24,(Tablo2[[#This Row],[Bitiş]]-Tablo2[[#This Row],[Başlangıç]])*24)))</f>
        <v>70.416666666569654</v>
      </c>
    </row>
    <row r="775" spans="1:5" x14ac:dyDescent="0.3">
      <c r="A775">
        <v>329</v>
      </c>
      <c r="B775" t="s">
        <v>65</v>
      </c>
      <c r="C775" s="1">
        <v>44495.8125</v>
      </c>
      <c r="D775" s="1">
        <v>44495.819444444445</v>
      </c>
      <c r="E775" s="17">
        <f>IF(Tablo2[[#This Row],[Başlangıç]]="","",(IF(Tablo2[[#This Row],[Bitiş]]="",($G$1-Tablo2[[#This Row],[Başlangıç]])*24,(Tablo2[[#This Row],[Bitiş]]-Tablo2[[#This Row],[Başlangıç]])*24)))</f>
        <v>0.16666666668606922</v>
      </c>
    </row>
    <row r="776" spans="1:5" x14ac:dyDescent="0.3">
      <c r="A776">
        <v>330</v>
      </c>
      <c r="B776" t="s">
        <v>36</v>
      </c>
      <c r="C776" s="1">
        <v>44490.708333333336</v>
      </c>
      <c r="D776" s="1">
        <v>44501.708333333336</v>
      </c>
      <c r="E776" s="17">
        <f>IF(Tablo2[[#This Row],[Başlangıç]]="","",(IF(Tablo2[[#This Row],[Bitiş]]="",($G$1-Tablo2[[#This Row],[Başlangıç]])*24,(Tablo2[[#This Row],[Bitiş]]-Tablo2[[#This Row],[Başlangıç]])*24)))</f>
        <v>264</v>
      </c>
    </row>
    <row r="777" spans="1:5" x14ac:dyDescent="0.3">
      <c r="A777">
        <v>330</v>
      </c>
      <c r="B777" t="s">
        <v>84</v>
      </c>
      <c r="C777" s="1">
        <v>44494.666666666664</v>
      </c>
      <c r="D777" s="1">
        <v>44494.791666666664</v>
      </c>
      <c r="E777" s="17">
        <f>IF(Tablo2[[#This Row],[Başlangıç]]="","",(IF(Tablo2[[#This Row],[Bitiş]]="",($G$1-Tablo2[[#This Row],[Başlangıç]])*24,(Tablo2[[#This Row],[Bitiş]]-Tablo2[[#This Row],[Başlangıç]])*24)))</f>
        <v>3</v>
      </c>
    </row>
    <row r="778" spans="1:5" x14ac:dyDescent="0.3">
      <c r="A778">
        <v>330</v>
      </c>
      <c r="B778" t="s">
        <v>179</v>
      </c>
      <c r="C778" s="1">
        <v>44490.708333333336</v>
      </c>
      <c r="D778" s="1">
        <v>44490.729166666664</v>
      </c>
      <c r="E77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79" spans="1:5" x14ac:dyDescent="0.3">
      <c r="A779">
        <v>330</v>
      </c>
      <c r="B779" t="s">
        <v>68</v>
      </c>
      <c r="C779" s="1">
        <v>44494.041666666664</v>
      </c>
      <c r="D779" s="1">
        <v>44496.805555555555</v>
      </c>
      <c r="E779" s="17">
        <f>IF(Tablo2[[#This Row],[Başlangıç]]="","",(IF(Tablo2[[#This Row],[Bitiş]]="",($G$1-Tablo2[[#This Row],[Başlangıç]])*24,(Tablo2[[#This Row],[Bitiş]]-Tablo2[[#This Row],[Başlangıç]])*24)))</f>
        <v>66.333333333372138</v>
      </c>
    </row>
    <row r="780" spans="1:5" x14ac:dyDescent="0.3">
      <c r="A780">
        <v>330</v>
      </c>
      <c r="B780" t="s">
        <v>37</v>
      </c>
      <c r="C780" s="1">
        <v>44492.013888888891</v>
      </c>
      <c r="D780" s="1">
        <v>44494.458333333336</v>
      </c>
      <c r="E780" s="17">
        <f>IF(Tablo2[[#This Row],[Başlangıç]]="","",(IF(Tablo2[[#This Row],[Bitiş]]="",($G$1-Tablo2[[#This Row],[Başlangıç]])*24,(Tablo2[[#This Row],[Bitiş]]-Tablo2[[#This Row],[Başlangıç]])*24)))</f>
        <v>58.666666666686069</v>
      </c>
    </row>
    <row r="781" spans="1:5" x14ac:dyDescent="0.3">
      <c r="A781">
        <v>330</v>
      </c>
      <c r="B781" t="s">
        <v>65</v>
      </c>
      <c r="C781" s="1">
        <v>44494.416666666664</v>
      </c>
      <c r="D781" s="1">
        <v>44494.729861111111</v>
      </c>
      <c r="E781" s="17">
        <f>IF(Tablo2[[#This Row],[Başlangıç]]="","",(IF(Tablo2[[#This Row],[Bitiş]]="",($G$1-Tablo2[[#This Row],[Başlangıç]])*24,(Tablo2[[#This Row],[Bitiş]]-Tablo2[[#This Row],[Başlangıç]])*24)))</f>
        <v>7.5166666667209938</v>
      </c>
    </row>
    <row r="782" spans="1:5" x14ac:dyDescent="0.3">
      <c r="A782">
        <v>331</v>
      </c>
      <c r="B782" t="s">
        <v>36</v>
      </c>
      <c r="C782" s="1">
        <v>44491.1875</v>
      </c>
      <c r="D782" s="1">
        <v>44494.527777777781</v>
      </c>
      <c r="E782" s="17">
        <f>IF(Tablo2[[#This Row],[Başlangıç]]="","",(IF(Tablo2[[#This Row],[Bitiş]]="",($G$1-Tablo2[[#This Row],[Başlangıç]])*24,(Tablo2[[#This Row],[Bitiş]]-Tablo2[[#This Row],[Başlangıç]])*24)))</f>
        <v>80.166666666744277</v>
      </c>
    </row>
    <row r="783" spans="1:5" x14ac:dyDescent="0.3">
      <c r="A783">
        <v>331</v>
      </c>
      <c r="B783" t="s">
        <v>84</v>
      </c>
      <c r="C783" s="1"/>
      <c r="D783" s="1"/>
      <c r="E783" s="17" t="str">
        <f>IF(Tablo2[[#This Row],[Başlangıç]]="","",(IF(Tablo2[[#This Row],[Bitiş]]="",($G$1-Tablo2[[#This Row],[Başlangıç]])*24,(Tablo2[[#This Row],[Bitiş]]-Tablo2[[#This Row],[Başlangıç]])*24)))</f>
        <v/>
      </c>
    </row>
    <row r="784" spans="1:5" x14ac:dyDescent="0.3">
      <c r="A784">
        <v>331</v>
      </c>
      <c r="B784" t="s">
        <v>179</v>
      </c>
      <c r="C784" s="1">
        <v>44491.1875</v>
      </c>
      <c r="D784" s="1">
        <v>44491.208333333336</v>
      </c>
      <c r="E78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785" spans="1:5" x14ac:dyDescent="0.3">
      <c r="A785">
        <v>331</v>
      </c>
      <c r="B785" t="s">
        <v>68</v>
      </c>
      <c r="C785" s="1">
        <v>44498.666666666664</v>
      </c>
      <c r="D785" s="1">
        <v>44498.70416666667</v>
      </c>
      <c r="E785" s="17">
        <f>IF(Tablo2[[#This Row],[Başlangıç]]="","",(IF(Tablo2[[#This Row],[Bitiş]]="",($G$1-Tablo2[[#This Row],[Başlangıç]])*24,(Tablo2[[#This Row],[Bitiş]]-Tablo2[[#This Row],[Başlangıç]])*24)))</f>
        <v>0.90000000013969839</v>
      </c>
    </row>
    <row r="786" spans="1:5" x14ac:dyDescent="0.3">
      <c r="A786">
        <v>331</v>
      </c>
      <c r="B786" t="s">
        <v>37</v>
      </c>
      <c r="C786" s="1">
        <v>44494.670138888891</v>
      </c>
      <c r="D786" s="1">
        <v>44495.538194444445</v>
      </c>
      <c r="E786" s="17">
        <f>IF(Tablo2[[#This Row],[Başlangıç]]="","",(IF(Tablo2[[#This Row],[Bitiş]]="",($G$1-Tablo2[[#This Row],[Başlangıç]])*24,(Tablo2[[#This Row],[Bitiş]]-Tablo2[[#This Row],[Başlangıç]])*24)))</f>
        <v>20.833333333313931</v>
      </c>
    </row>
    <row r="787" spans="1:5" x14ac:dyDescent="0.3">
      <c r="A787">
        <v>331</v>
      </c>
      <c r="B787" t="s">
        <v>65</v>
      </c>
      <c r="C787" s="1">
        <v>44495.927083333336</v>
      </c>
      <c r="D787" s="1">
        <v>44495.208333333336</v>
      </c>
      <c r="E787" s="17">
        <f>IF(Tablo2[[#This Row],[Başlangıç]]="","",(IF(Tablo2[[#This Row],[Bitiş]]="",($G$1-Tablo2[[#This Row],[Başlangıç]])*24,(Tablo2[[#This Row],[Bitiş]]-Tablo2[[#This Row],[Başlangıç]])*24)))</f>
        <v>-17.25</v>
      </c>
    </row>
    <row r="788" spans="1:5" x14ac:dyDescent="0.3">
      <c r="A788">
        <v>332</v>
      </c>
      <c r="B788" t="s">
        <v>36</v>
      </c>
      <c r="C788" s="1">
        <v>44491.583333333336</v>
      </c>
      <c r="D788" s="1">
        <v>44495.208333333336</v>
      </c>
      <c r="E788" s="17">
        <f>IF(Tablo2[[#This Row],[Başlangıç]]="","",(IF(Tablo2[[#This Row],[Bitiş]]="",($G$1-Tablo2[[#This Row],[Başlangıç]])*24,(Tablo2[[#This Row],[Bitiş]]-Tablo2[[#This Row],[Başlangıç]])*24)))</f>
        <v>87</v>
      </c>
    </row>
    <row r="789" spans="1:5" x14ac:dyDescent="0.3">
      <c r="A789">
        <v>332</v>
      </c>
      <c r="B789" t="s">
        <v>84</v>
      </c>
      <c r="C789" s="1">
        <v>44495.166666666664</v>
      </c>
      <c r="D789" s="1">
        <v>44495.270833333336</v>
      </c>
      <c r="E789" s="17">
        <f>IF(Tablo2[[#This Row],[Başlangıç]]="","",(IF(Tablo2[[#This Row],[Bitiş]]="",($G$1-Tablo2[[#This Row],[Başlangıç]])*24,(Tablo2[[#This Row],[Bitiş]]-Tablo2[[#This Row],[Başlangıç]])*24)))</f>
        <v>2.5000000001164153</v>
      </c>
    </row>
    <row r="790" spans="1:5" x14ac:dyDescent="0.3">
      <c r="A790">
        <v>332</v>
      </c>
      <c r="B790" t="s">
        <v>179</v>
      </c>
      <c r="C790" s="1">
        <v>44491.583333333336</v>
      </c>
      <c r="D790" s="1">
        <v>44491.604166666664</v>
      </c>
      <c r="E79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91" spans="1:5" x14ac:dyDescent="0.3">
      <c r="A791">
        <v>332</v>
      </c>
      <c r="B791" t="s">
        <v>68</v>
      </c>
      <c r="C791" s="1">
        <v>44495.291666666664</v>
      </c>
      <c r="D791" s="1">
        <v>44495.729166666664</v>
      </c>
      <c r="E791" s="17">
        <f>IF(Tablo2[[#This Row],[Başlangıç]]="","",(IF(Tablo2[[#This Row],[Bitiş]]="",($G$1-Tablo2[[#This Row],[Başlangıç]])*24,(Tablo2[[#This Row],[Bitiş]]-Tablo2[[#This Row],[Başlangıç]])*24)))</f>
        <v>10.5</v>
      </c>
    </row>
    <row r="792" spans="1:5" x14ac:dyDescent="0.3">
      <c r="A792">
        <v>332</v>
      </c>
      <c r="B792" t="s">
        <v>37</v>
      </c>
      <c r="C792" s="1">
        <v>44494.402777777781</v>
      </c>
      <c r="D792" s="1">
        <v>44495.975694444445</v>
      </c>
      <c r="E792" s="17">
        <f>IF(Tablo2[[#This Row],[Başlangıç]]="","",(IF(Tablo2[[#This Row],[Bitiş]]="",($G$1-Tablo2[[#This Row],[Başlangıç]])*24,(Tablo2[[#This Row],[Bitiş]]-Tablo2[[#This Row],[Başlangıç]])*24)))</f>
        <v>37.749999999941792</v>
      </c>
    </row>
    <row r="793" spans="1:5" x14ac:dyDescent="0.3">
      <c r="A793">
        <v>332</v>
      </c>
      <c r="B793" t="s">
        <v>65</v>
      </c>
      <c r="C793" s="1">
        <v>44495.083333333336</v>
      </c>
      <c r="D793" s="1">
        <v>44526.041666666664</v>
      </c>
      <c r="E793" s="17">
        <f>IF(Tablo2[[#This Row],[Başlangıç]]="","",(IF(Tablo2[[#This Row],[Bitiş]]="",($G$1-Tablo2[[#This Row],[Başlangıç]])*24,(Tablo2[[#This Row],[Bitiş]]-Tablo2[[#This Row],[Başlangıç]])*24)))</f>
        <v>742.99999999988358</v>
      </c>
    </row>
    <row r="794" spans="1:5" x14ac:dyDescent="0.3">
      <c r="A794">
        <v>333</v>
      </c>
      <c r="B794" t="s">
        <v>36</v>
      </c>
      <c r="C794" s="1">
        <v>44491.958333333336</v>
      </c>
      <c r="D794" s="1">
        <v>44497.041666666664</v>
      </c>
      <c r="E794" s="17">
        <f>IF(Tablo2[[#This Row],[Başlangıç]]="","",(IF(Tablo2[[#This Row],[Bitiş]]="",($G$1-Tablo2[[#This Row],[Başlangıç]])*24,(Tablo2[[#This Row],[Bitiş]]-Tablo2[[#This Row],[Başlangıç]])*24)))</f>
        <v>121.99999999988358</v>
      </c>
    </row>
    <row r="795" spans="1:5" x14ac:dyDescent="0.3">
      <c r="A795">
        <v>333</v>
      </c>
      <c r="B795" t="s">
        <v>84</v>
      </c>
      <c r="C795" s="1">
        <v>44495.041666666664</v>
      </c>
      <c r="D795" s="1">
        <v>44495.1875</v>
      </c>
      <c r="E795" s="17">
        <f>IF(Tablo2[[#This Row],[Başlangıç]]="","",(IF(Tablo2[[#This Row],[Bitiş]]="",($G$1-Tablo2[[#This Row],[Başlangıç]])*24,(Tablo2[[#This Row],[Bitiş]]-Tablo2[[#This Row],[Başlangıç]])*24)))</f>
        <v>3.5000000000582077</v>
      </c>
    </row>
    <row r="796" spans="1:5" x14ac:dyDescent="0.3">
      <c r="A796">
        <v>333</v>
      </c>
      <c r="B796" t="s">
        <v>179</v>
      </c>
      <c r="C796" s="1">
        <v>44491.958333333336</v>
      </c>
      <c r="D796" s="1">
        <v>44491.979166666664</v>
      </c>
      <c r="E79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797" spans="1:5" x14ac:dyDescent="0.3">
      <c r="A797">
        <v>333</v>
      </c>
      <c r="B797" t="s">
        <v>68</v>
      </c>
      <c r="C797" s="1">
        <v>44496.143055555556</v>
      </c>
      <c r="D797" s="1">
        <v>44497.3125</v>
      </c>
      <c r="E797" s="17">
        <f>IF(Tablo2[[#This Row],[Başlangıç]]="","",(IF(Tablo2[[#This Row],[Bitiş]]="",($G$1-Tablo2[[#This Row],[Başlangıç]])*24,(Tablo2[[#This Row],[Bitiş]]-Tablo2[[#This Row],[Başlangıç]])*24)))</f>
        <v>28.066666666651145</v>
      </c>
    </row>
    <row r="798" spans="1:5" x14ac:dyDescent="0.3">
      <c r="A798">
        <v>333</v>
      </c>
      <c r="B798" t="s">
        <v>37</v>
      </c>
      <c r="C798" s="1">
        <v>44493.742361111108</v>
      </c>
      <c r="D798" s="1">
        <v>44495.5625</v>
      </c>
      <c r="E798" s="17">
        <f>IF(Tablo2[[#This Row],[Başlangıç]]="","",(IF(Tablo2[[#This Row],[Bitiş]]="",($G$1-Tablo2[[#This Row],[Başlangıç]])*24,(Tablo2[[#This Row],[Bitiş]]-Tablo2[[#This Row],[Başlangıç]])*24)))</f>
        <v>43.683333333407063</v>
      </c>
    </row>
    <row r="799" spans="1:5" x14ac:dyDescent="0.3">
      <c r="A799">
        <v>333</v>
      </c>
      <c r="B799" t="s">
        <v>65</v>
      </c>
      <c r="C799" s="1">
        <v>44494.319444444445</v>
      </c>
      <c r="D799" s="1">
        <v>44495.0625</v>
      </c>
      <c r="E799" s="17">
        <f>IF(Tablo2[[#This Row],[Başlangıç]]="","",(IF(Tablo2[[#This Row],[Bitiş]]="",($G$1-Tablo2[[#This Row],[Başlangıç]])*24,(Tablo2[[#This Row],[Bitiş]]-Tablo2[[#This Row],[Başlangıç]])*24)))</f>
        <v>17.833333333313931</v>
      </c>
    </row>
    <row r="800" spans="1:5" x14ac:dyDescent="0.3">
      <c r="A800">
        <v>334</v>
      </c>
      <c r="B800" t="s">
        <v>36</v>
      </c>
      <c r="C800" s="1">
        <v>44492.416666666664</v>
      </c>
      <c r="D800" s="1">
        <v>44493.940972222219</v>
      </c>
      <c r="E800" s="17">
        <f>IF(Tablo2[[#This Row],[Başlangıç]]="","",(IF(Tablo2[[#This Row],[Bitiş]]="",($G$1-Tablo2[[#This Row],[Başlangıç]])*24,(Tablo2[[#This Row],[Bitiş]]-Tablo2[[#This Row],[Başlangıç]])*24)))</f>
        <v>36.583333333313931</v>
      </c>
    </row>
    <row r="801" spans="1:5" x14ac:dyDescent="0.3">
      <c r="A801">
        <v>334</v>
      </c>
      <c r="B801" t="s">
        <v>84</v>
      </c>
      <c r="C801" s="1">
        <v>44494.25</v>
      </c>
      <c r="D801" s="1">
        <v>44494.416666666664</v>
      </c>
      <c r="E801" s="17">
        <f>IF(Tablo2[[#This Row],[Başlangıç]]="","",(IF(Tablo2[[#This Row],[Bitiş]]="",($G$1-Tablo2[[#This Row],[Başlangıç]])*24,(Tablo2[[#This Row],[Bitiş]]-Tablo2[[#This Row],[Başlangıç]])*24)))</f>
        <v>3.9999999999417923</v>
      </c>
    </row>
    <row r="802" spans="1:5" x14ac:dyDescent="0.3">
      <c r="A802">
        <v>334</v>
      </c>
      <c r="B802" t="s">
        <v>179</v>
      </c>
      <c r="C802" s="1">
        <v>44492.416666666664</v>
      </c>
      <c r="D802" s="1">
        <v>44492.4375</v>
      </c>
      <c r="E80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03" spans="1:5" x14ac:dyDescent="0.3">
      <c r="A803">
        <v>334</v>
      </c>
      <c r="B803" t="s">
        <v>68</v>
      </c>
      <c r="C803" s="1">
        <v>44494.416666666664</v>
      </c>
      <c r="D803" s="1">
        <v>44494.743055555555</v>
      </c>
      <c r="E803" s="17">
        <f>IF(Tablo2[[#This Row],[Başlangıç]]="","",(IF(Tablo2[[#This Row],[Bitiş]]="",($G$1-Tablo2[[#This Row],[Başlangıç]])*24,(Tablo2[[#This Row],[Bitiş]]-Tablo2[[#This Row],[Başlangıç]])*24)))</f>
        <v>7.8333333333721384</v>
      </c>
    </row>
    <row r="804" spans="1:5" x14ac:dyDescent="0.3">
      <c r="A804">
        <v>334</v>
      </c>
      <c r="B804" t="s">
        <v>37</v>
      </c>
      <c r="C804" s="1">
        <v>44494.104166666664</v>
      </c>
      <c r="D804" s="1">
        <v>44497.774305555555</v>
      </c>
      <c r="E804" s="17">
        <f>IF(Tablo2[[#This Row],[Başlangıç]]="","",(IF(Tablo2[[#This Row],[Bitiş]]="",($G$1-Tablo2[[#This Row],[Başlangıç]])*24,(Tablo2[[#This Row],[Bitiş]]-Tablo2[[#This Row],[Başlangıç]])*24)))</f>
        <v>88.083333333372138</v>
      </c>
    </row>
    <row r="805" spans="1:5" x14ac:dyDescent="0.3">
      <c r="A805">
        <v>334</v>
      </c>
      <c r="B805" t="s">
        <v>65</v>
      </c>
      <c r="C805" s="1">
        <v>44494.041666666664</v>
      </c>
      <c r="D805" s="1">
        <v>44496.763888888891</v>
      </c>
      <c r="E805" s="17">
        <f>IF(Tablo2[[#This Row],[Başlangıç]]="","",(IF(Tablo2[[#This Row],[Bitiş]]="",($G$1-Tablo2[[#This Row],[Başlangıç]])*24,(Tablo2[[#This Row],[Bitiş]]-Tablo2[[#This Row],[Başlangıç]])*24)))</f>
        <v>65.333333333430346</v>
      </c>
    </row>
    <row r="806" spans="1:5" x14ac:dyDescent="0.3">
      <c r="A806">
        <v>335</v>
      </c>
      <c r="B806" t="s">
        <v>36</v>
      </c>
      <c r="C806" s="1">
        <v>44493.013888888891</v>
      </c>
      <c r="D806" s="1">
        <v>44495.652777777781</v>
      </c>
      <c r="E806" s="17">
        <f>IF(Tablo2[[#This Row],[Başlangıç]]="","",(IF(Tablo2[[#This Row],[Bitiş]]="",($G$1-Tablo2[[#This Row],[Başlangıç]])*24,(Tablo2[[#This Row],[Bitiş]]-Tablo2[[#This Row],[Başlangıç]])*24)))</f>
        <v>63.333333333372138</v>
      </c>
    </row>
    <row r="807" spans="1:5" x14ac:dyDescent="0.3">
      <c r="A807">
        <v>335</v>
      </c>
      <c r="B807" t="s">
        <v>84</v>
      </c>
      <c r="C807" s="1"/>
      <c r="D807" s="1"/>
      <c r="E807" s="17" t="str">
        <f>IF(Tablo2[[#This Row],[Başlangıç]]="","",(IF(Tablo2[[#This Row],[Bitiş]]="",($G$1-Tablo2[[#This Row],[Başlangıç]])*24,(Tablo2[[#This Row],[Bitiş]]-Tablo2[[#This Row],[Başlangıç]])*24)))</f>
        <v/>
      </c>
    </row>
    <row r="808" spans="1:5" x14ac:dyDescent="0.3">
      <c r="A808">
        <v>335</v>
      </c>
      <c r="B808" t="s">
        <v>179</v>
      </c>
      <c r="C808" s="1">
        <v>44493.013888888891</v>
      </c>
      <c r="D808" s="1">
        <v>44493.034722222219</v>
      </c>
      <c r="E80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09" spans="1:5" x14ac:dyDescent="0.3">
      <c r="A809">
        <v>335</v>
      </c>
      <c r="B809" t="s">
        <v>68</v>
      </c>
      <c r="C809" s="1">
        <v>44498.75</v>
      </c>
      <c r="D809" s="1">
        <v>44498.833333333336</v>
      </c>
      <c r="E809" s="17">
        <f>IF(Tablo2[[#This Row],[Başlangıç]]="","",(IF(Tablo2[[#This Row],[Bitiş]]="",($G$1-Tablo2[[#This Row],[Başlangıç]])*24,(Tablo2[[#This Row],[Bitiş]]-Tablo2[[#This Row],[Başlangıç]])*24)))</f>
        <v>2.0000000000582077</v>
      </c>
    </row>
    <row r="810" spans="1:5" x14ac:dyDescent="0.3">
      <c r="A810">
        <v>335</v>
      </c>
      <c r="B810" t="s">
        <v>37</v>
      </c>
      <c r="C810" s="1">
        <v>44494.725694444445</v>
      </c>
      <c r="D810" s="1">
        <v>44496.540277777778</v>
      </c>
      <c r="E810" s="17">
        <f>IF(Tablo2[[#This Row],[Başlangıç]]="","",(IF(Tablo2[[#This Row],[Bitiş]]="",($G$1-Tablo2[[#This Row],[Başlangıç]])*24,(Tablo2[[#This Row],[Bitiş]]-Tablo2[[#This Row],[Başlangıç]])*24)))</f>
        <v>43.549999999988358</v>
      </c>
    </row>
    <row r="811" spans="1:5" x14ac:dyDescent="0.3">
      <c r="A811">
        <v>335</v>
      </c>
      <c r="B811" t="s">
        <v>65</v>
      </c>
      <c r="C811" s="1">
        <v>44496.815972222219</v>
      </c>
      <c r="D811" s="1">
        <v>44496.925694444442</v>
      </c>
      <c r="E811" s="17">
        <f>IF(Tablo2[[#This Row],[Başlangıç]]="","",(IF(Tablo2[[#This Row],[Bitiş]]="",($G$1-Tablo2[[#This Row],[Başlangıç]])*24,(Tablo2[[#This Row],[Bitiş]]-Tablo2[[#This Row],[Başlangıç]])*24)))</f>
        <v>2.6333333333604969</v>
      </c>
    </row>
    <row r="812" spans="1:5" x14ac:dyDescent="0.3">
      <c r="A812">
        <v>336</v>
      </c>
      <c r="B812" t="s">
        <v>36</v>
      </c>
      <c r="C812" s="1">
        <v>44493.666666666664</v>
      </c>
      <c r="D812" s="1">
        <v>44495.121527777781</v>
      </c>
      <c r="E812" s="17">
        <f>IF(Tablo2[[#This Row],[Başlangıç]]="","",(IF(Tablo2[[#This Row],[Bitiş]]="",($G$1-Tablo2[[#This Row],[Başlangıç]])*24,(Tablo2[[#This Row],[Bitiş]]-Tablo2[[#This Row],[Başlangıç]])*24)))</f>
        <v>34.916666666802485</v>
      </c>
    </row>
    <row r="813" spans="1:5" x14ac:dyDescent="0.3">
      <c r="A813">
        <v>336</v>
      </c>
      <c r="B813" t="s">
        <v>84</v>
      </c>
      <c r="C813" s="1"/>
      <c r="D813" s="1"/>
      <c r="E813" s="17" t="str">
        <f>IF(Tablo2[[#This Row],[Başlangıç]]="","",(IF(Tablo2[[#This Row],[Bitiş]]="",($G$1-Tablo2[[#This Row],[Başlangıç]])*24,(Tablo2[[#This Row],[Bitiş]]-Tablo2[[#This Row],[Başlangıç]])*24)))</f>
        <v/>
      </c>
    </row>
    <row r="814" spans="1:5" x14ac:dyDescent="0.3">
      <c r="A814">
        <v>336</v>
      </c>
      <c r="B814" t="s">
        <v>179</v>
      </c>
      <c r="C814" s="1">
        <v>44493.666666666664</v>
      </c>
      <c r="D814" s="1">
        <v>44493.6875</v>
      </c>
      <c r="E8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15" spans="1:5" x14ac:dyDescent="0.3">
      <c r="A815">
        <v>336</v>
      </c>
      <c r="B815" t="s">
        <v>68</v>
      </c>
      <c r="C815" s="1">
        <v>44500.75</v>
      </c>
      <c r="D815" s="1">
        <v>44502.618055555555</v>
      </c>
      <c r="E815" s="17">
        <f>IF(Tablo2[[#This Row],[Başlangıç]]="","",(IF(Tablo2[[#This Row],[Bitiş]]="",($G$1-Tablo2[[#This Row],[Başlangıç]])*24,(Tablo2[[#This Row],[Bitiş]]-Tablo2[[#This Row],[Başlangıç]])*24)))</f>
        <v>44.833333333313931</v>
      </c>
    </row>
    <row r="816" spans="1:5" x14ac:dyDescent="0.3">
      <c r="A816">
        <v>336</v>
      </c>
      <c r="B816" t="s">
        <v>37</v>
      </c>
      <c r="C816" s="1">
        <v>44495.289583333331</v>
      </c>
      <c r="D816" s="1">
        <v>44497.25</v>
      </c>
      <c r="E816" s="17">
        <f>IF(Tablo2[[#This Row],[Başlangıç]]="","",(IF(Tablo2[[#This Row],[Bitiş]]="",($G$1-Tablo2[[#This Row],[Başlangıç]])*24,(Tablo2[[#This Row],[Bitiş]]-Tablo2[[#This Row],[Başlangıç]])*24)))</f>
        <v>47.050000000046566</v>
      </c>
    </row>
    <row r="817" spans="1:5" x14ac:dyDescent="0.3">
      <c r="A817">
        <v>336</v>
      </c>
      <c r="B817" t="s">
        <v>65</v>
      </c>
      <c r="C817" s="1"/>
      <c r="D817" s="1"/>
      <c r="E817" s="17" t="str">
        <f>IF(Tablo2[[#This Row],[Başlangıç]]="","",(IF(Tablo2[[#This Row],[Bitiş]]="",($G$1-Tablo2[[#This Row],[Başlangıç]])*24,(Tablo2[[#This Row],[Bitiş]]-Tablo2[[#This Row],[Başlangıç]])*24)))</f>
        <v/>
      </c>
    </row>
    <row r="818" spans="1:5" x14ac:dyDescent="0.3">
      <c r="A818">
        <v>339</v>
      </c>
      <c r="B818" t="s">
        <v>36</v>
      </c>
      <c r="C818" s="1">
        <v>44495.577777777777</v>
      </c>
      <c r="D818" s="1">
        <v>44501.708333333336</v>
      </c>
      <c r="E818" s="17">
        <f>IF(Tablo2[[#This Row],[Başlangıç]]="","",(IF(Tablo2[[#This Row],[Bitiş]]="",($G$1-Tablo2[[#This Row],[Başlangıç]])*24,(Tablo2[[#This Row],[Bitiş]]-Tablo2[[#This Row],[Başlangıç]])*24)))</f>
        <v>147.1333333334187</v>
      </c>
    </row>
    <row r="819" spans="1:5" x14ac:dyDescent="0.3">
      <c r="A819">
        <v>339</v>
      </c>
      <c r="B819" t="s">
        <v>84</v>
      </c>
      <c r="C819" s="1">
        <v>44499.9375</v>
      </c>
      <c r="D819" s="1">
        <v>44500.03125</v>
      </c>
      <c r="E819" s="17">
        <f>IF(Tablo2[[#This Row],[Başlangıç]]="","",(IF(Tablo2[[#This Row],[Bitiş]]="",($G$1-Tablo2[[#This Row],[Başlangıç]])*24,(Tablo2[[#This Row],[Bitiş]]-Tablo2[[#This Row],[Başlangıç]])*24)))</f>
        <v>2.25</v>
      </c>
    </row>
    <row r="820" spans="1:5" x14ac:dyDescent="0.3">
      <c r="A820">
        <v>339</v>
      </c>
      <c r="B820" t="s">
        <v>179</v>
      </c>
      <c r="C820" s="1">
        <v>44495.577777777777</v>
      </c>
      <c r="D820" s="1">
        <v>44495.598611111112</v>
      </c>
      <c r="E82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21" spans="1:5" x14ac:dyDescent="0.3">
      <c r="A821">
        <v>339</v>
      </c>
      <c r="B821" t="s">
        <v>68</v>
      </c>
      <c r="C821" s="1">
        <v>44500.020833333336</v>
      </c>
      <c r="D821" s="1">
        <v>44501.857638888891</v>
      </c>
      <c r="E821" s="17">
        <f>IF(Tablo2[[#This Row],[Başlangıç]]="","",(IF(Tablo2[[#This Row],[Bitiş]]="",($G$1-Tablo2[[#This Row],[Başlangıç]])*24,(Tablo2[[#This Row],[Bitiş]]-Tablo2[[#This Row],[Başlangıç]])*24)))</f>
        <v>44.083333333313931</v>
      </c>
    </row>
    <row r="822" spans="1:5" x14ac:dyDescent="0.3">
      <c r="A822">
        <v>339</v>
      </c>
      <c r="B822" t="s">
        <v>37</v>
      </c>
      <c r="C822" s="1">
        <v>44496.670138888891</v>
      </c>
      <c r="D822" s="1">
        <v>44500.875</v>
      </c>
      <c r="E822" s="17">
        <f>IF(Tablo2[[#This Row],[Başlangıç]]="","",(IF(Tablo2[[#This Row],[Bitiş]]="",($G$1-Tablo2[[#This Row],[Başlangıç]])*24,(Tablo2[[#This Row],[Bitiş]]-Tablo2[[#This Row],[Başlangıç]])*24)))</f>
        <v>100.91666666662786</v>
      </c>
    </row>
    <row r="823" spans="1:5" x14ac:dyDescent="0.3">
      <c r="A823">
        <v>339</v>
      </c>
      <c r="B823" t="s">
        <v>65</v>
      </c>
      <c r="C823" s="1">
        <v>44499.416666666664</v>
      </c>
      <c r="D823" s="1">
        <v>44499.916666666664</v>
      </c>
      <c r="E823" s="17">
        <f>IF(Tablo2[[#This Row],[Başlangıç]]="","",(IF(Tablo2[[#This Row],[Bitiş]]="",($G$1-Tablo2[[#This Row],[Başlangıç]])*24,(Tablo2[[#This Row],[Bitiş]]-Tablo2[[#This Row],[Başlangıç]])*24)))</f>
        <v>12</v>
      </c>
    </row>
    <row r="824" spans="1:5" x14ac:dyDescent="0.3">
      <c r="A824">
        <v>340</v>
      </c>
      <c r="B824" t="s">
        <v>36</v>
      </c>
      <c r="C824" s="1">
        <v>44495.929166666669</v>
      </c>
      <c r="D824" s="1">
        <v>44500.791666666664</v>
      </c>
      <c r="E824" s="17">
        <f>IF(Tablo2[[#This Row],[Başlangıç]]="","",(IF(Tablo2[[#This Row],[Bitiş]]="",($G$1-Tablo2[[#This Row],[Başlangıç]])*24,(Tablo2[[#This Row],[Bitiş]]-Tablo2[[#This Row],[Başlangıç]])*24)))</f>
        <v>116.69999999989523</v>
      </c>
    </row>
    <row r="825" spans="1:5" x14ac:dyDescent="0.3">
      <c r="A825">
        <v>340</v>
      </c>
      <c r="B825" t="s">
        <v>84</v>
      </c>
      <c r="C825" s="1">
        <v>44499.486111111109</v>
      </c>
      <c r="D825" s="1">
        <v>44499.576388888891</v>
      </c>
      <c r="E825" s="17">
        <f>IF(Tablo2[[#This Row],[Başlangıç]]="","",(IF(Tablo2[[#This Row],[Bitiş]]="",($G$1-Tablo2[[#This Row],[Başlangıç]])*24,(Tablo2[[#This Row],[Bitiş]]-Tablo2[[#This Row],[Başlangıç]])*24)))</f>
        <v>2.1666666667442769</v>
      </c>
    </row>
    <row r="826" spans="1:5" x14ac:dyDescent="0.3">
      <c r="A826">
        <v>340</v>
      </c>
      <c r="B826" t="s">
        <v>179</v>
      </c>
      <c r="C826" s="1">
        <v>44495.929166666669</v>
      </c>
      <c r="D826" s="1">
        <v>44495.95</v>
      </c>
      <c r="E82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27" spans="1:5" x14ac:dyDescent="0.3">
      <c r="A827">
        <v>340</v>
      </c>
      <c r="B827" t="s">
        <v>68</v>
      </c>
      <c r="C827" s="1">
        <v>44500.125</v>
      </c>
      <c r="D827" s="1">
        <v>44500.979166666664</v>
      </c>
      <c r="E827" s="17">
        <f>IF(Tablo2[[#This Row],[Başlangıç]]="","",(IF(Tablo2[[#This Row],[Bitiş]]="",($G$1-Tablo2[[#This Row],[Başlangıç]])*24,(Tablo2[[#This Row],[Bitiş]]-Tablo2[[#This Row],[Başlangıç]])*24)))</f>
        <v>20.499999999941792</v>
      </c>
    </row>
    <row r="828" spans="1:5" x14ac:dyDescent="0.3">
      <c r="A828">
        <v>340</v>
      </c>
      <c r="B828" t="s">
        <v>37</v>
      </c>
      <c r="C828" s="1">
        <v>44496.743055555555</v>
      </c>
      <c r="D828" s="1">
        <v>44498.885416666664</v>
      </c>
      <c r="E828" s="17">
        <f>IF(Tablo2[[#This Row],[Başlangıç]]="","",(IF(Tablo2[[#This Row],[Bitiş]]="",($G$1-Tablo2[[#This Row],[Başlangıç]])*24,(Tablo2[[#This Row],[Bitiş]]-Tablo2[[#This Row],[Başlangıç]])*24)))</f>
        <v>51.416666666627862</v>
      </c>
    </row>
    <row r="829" spans="1:5" x14ac:dyDescent="0.3">
      <c r="A829">
        <v>340</v>
      </c>
      <c r="B829" t="s">
        <v>65</v>
      </c>
      <c r="C829" s="1">
        <v>44498.847222222219</v>
      </c>
      <c r="D829" s="1">
        <v>44499.46875</v>
      </c>
      <c r="E829" s="17">
        <f>IF(Tablo2[[#This Row],[Başlangıç]]="","",(IF(Tablo2[[#This Row],[Bitiş]]="",($G$1-Tablo2[[#This Row],[Başlangıç]])*24,(Tablo2[[#This Row],[Bitiş]]-Tablo2[[#This Row],[Başlangıç]])*24)))</f>
        <v>14.916666666744277</v>
      </c>
    </row>
    <row r="830" spans="1:5" x14ac:dyDescent="0.3">
      <c r="A830">
        <v>341</v>
      </c>
      <c r="B830" t="s">
        <v>36</v>
      </c>
      <c r="C830" s="1">
        <v>44486.5625</v>
      </c>
      <c r="D830" s="1">
        <v>44498.416666666664</v>
      </c>
      <c r="E830" s="17">
        <f>IF(Tablo2[[#This Row],[Başlangıç]]="","",(IF(Tablo2[[#This Row],[Bitiş]]="",($G$1-Tablo2[[#This Row],[Başlangıç]])*24,(Tablo2[[#This Row],[Bitiş]]-Tablo2[[#This Row],[Başlangıç]])*24)))</f>
        <v>284.49999999994179</v>
      </c>
    </row>
    <row r="831" spans="1:5" x14ac:dyDescent="0.3">
      <c r="A831">
        <v>341</v>
      </c>
      <c r="B831" t="s">
        <v>84</v>
      </c>
      <c r="C831" s="1">
        <v>44496.333333333336</v>
      </c>
      <c r="D831" s="1">
        <v>44498.09375</v>
      </c>
      <c r="E831" s="17">
        <f>IF(Tablo2[[#This Row],[Başlangıç]]="","",(IF(Tablo2[[#This Row],[Bitiş]]="",($G$1-Tablo2[[#This Row],[Başlangıç]])*24,(Tablo2[[#This Row],[Bitiş]]-Tablo2[[#This Row],[Başlangıç]])*24)))</f>
        <v>42.249999999941792</v>
      </c>
    </row>
    <row r="832" spans="1:5" x14ac:dyDescent="0.3">
      <c r="A832">
        <v>341</v>
      </c>
      <c r="B832" t="s">
        <v>179</v>
      </c>
      <c r="C832" s="1">
        <v>44496.463888888888</v>
      </c>
      <c r="D832" s="1">
        <v>44496.484722222223</v>
      </c>
      <c r="E83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33" spans="1:5" x14ac:dyDescent="0.3">
      <c r="A833">
        <v>341</v>
      </c>
      <c r="B833" t="s">
        <v>68</v>
      </c>
      <c r="C833" s="1">
        <v>44496.25</v>
      </c>
      <c r="D833" s="1">
        <v>44500.316666666666</v>
      </c>
      <c r="E833" s="17">
        <f>IF(Tablo2[[#This Row],[Başlangıç]]="","",(IF(Tablo2[[#This Row],[Bitiş]]="",($G$1-Tablo2[[#This Row],[Başlangıç]])*24,(Tablo2[[#This Row],[Bitiş]]-Tablo2[[#This Row],[Başlangıç]])*24)))</f>
        <v>97.599999999976717</v>
      </c>
    </row>
    <row r="834" spans="1:5" x14ac:dyDescent="0.3">
      <c r="A834">
        <v>341</v>
      </c>
      <c r="B834" t="s">
        <v>37</v>
      </c>
      <c r="C834" s="1">
        <v>-612940.69791666663</v>
      </c>
      <c r="D834" s="1">
        <v>44507.541666666664</v>
      </c>
      <c r="E834" s="17">
        <f>IF(Tablo2[[#This Row],[Başlangıç]]="","",(IF(Tablo2[[#This Row],[Bitiş]]="",($G$1-Tablo2[[#This Row],[Başlangıç]])*24,(Tablo2[[#This Row],[Bitiş]]-Tablo2[[#This Row],[Başlangıç]])*24)))</f>
        <v>15778757.749999998</v>
      </c>
    </row>
    <row r="835" spans="1:5" x14ac:dyDescent="0.3">
      <c r="A835">
        <v>341</v>
      </c>
      <c r="B835" t="s">
        <v>65</v>
      </c>
      <c r="C835" s="1">
        <v>44496.041666666664</v>
      </c>
      <c r="D835" s="1">
        <v>44498.020833333336</v>
      </c>
      <c r="E835" s="17">
        <f>IF(Tablo2[[#This Row],[Başlangıç]]="","",(IF(Tablo2[[#This Row],[Bitiş]]="",($G$1-Tablo2[[#This Row],[Başlangıç]])*24,(Tablo2[[#This Row],[Bitiş]]-Tablo2[[#This Row],[Başlangıç]])*24)))</f>
        <v>47.500000000116415</v>
      </c>
    </row>
    <row r="836" spans="1:5" x14ac:dyDescent="0.3">
      <c r="A836">
        <v>342</v>
      </c>
      <c r="B836" t="s">
        <v>36</v>
      </c>
      <c r="C836" s="1">
        <v>44496.908333333333</v>
      </c>
      <c r="D836" s="1">
        <v>44557.944444444445</v>
      </c>
      <c r="E836" s="17">
        <f>IF(Tablo2[[#This Row],[Başlangıç]]="","",(IF(Tablo2[[#This Row],[Bitiş]]="",($G$1-Tablo2[[#This Row],[Başlangıç]])*24,(Tablo2[[#This Row],[Bitiş]]-Tablo2[[#This Row],[Başlangıç]])*24)))</f>
        <v>1464.8666666666977</v>
      </c>
    </row>
    <row r="837" spans="1:5" x14ac:dyDescent="0.3">
      <c r="A837">
        <v>342</v>
      </c>
      <c r="B837" t="s">
        <v>84</v>
      </c>
      <c r="C837" s="1"/>
      <c r="D837" s="1"/>
      <c r="E837" s="17" t="str">
        <f>IF(Tablo2[[#This Row],[Başlangıç]]="","",(IF(Tablo2[[#This Row],[Bitiş]]="",($G$1-Tablo2[[#This Row],[Başlangıç]])*24,(Tablo2[[#This Row],[Bitiş]]-Tablo2[[#This Row],[Başlangıç]])*24)))</f>
        <v/>
      </c>
    </row>
    <row r="838" spans="1:5" x14ac:dyDescent="0.3">
      <c r="A838">
        <v>342</v>
      </c>
      <c r="B838" t="s">
        <v>179</v>
      </c>
      <c r="C838" s="1">
        <v>44496.908333333333</v>
      </c>
      <c r="D838" s="1">
        <v>44496.929166666669</v>
      </c>
      <c r="E83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39" spans="1:5" x14ac:dyDescent="0.3">
      <c r="A839">
        <v>342</v>
      </c>
      <c r="B839" t="s">
        <v>68</v>
      </c>
      <c r="C839" s="1"/>
      <c r="D839" s="1"/>
      <c r="E839" s="17" t="str">
        <f>IF(Tablo2[[#This Row],[Başlangıç]]="","",(IF(Tablo2[[#This Row],[Bitiş]]="",($G$1-Tablo2[[#This Row],[Başlangıç]])*24,(Tablo2[[#This Row],[Bitiş]]-Tablo2[[#This Row],[Başlangıç]])*24)))</f>
        <v/>
      </c>
    </row>
    <row r="840" spans="1:5" x14ac:dyDescent="0.3">
      <c r="A840">
        <v>342</v>
      </c>
      <c r="B840" t="s">
        <v>37</v>
      </c>
      <c r="C840" s="1">
        <v>44497.770833333336</v>
      </c>
      <c r="D840" s="1">
        <v>44499.052083333336</v>
      </c>
      <c r="E840" s="17">
        <f>IF(Tablo2[[#This Row],[Başlangıç]]="","",(IF(Tablo2[[#This Row],[Bitiş]]="",($G$1-Tablo2[[#This Row],[Başlangıç]])*24,(Tablo2[[#This Row],[Bitiş]]-Tablo2[[#This Row],[Başlangıç]])*24)))</f>
        <v>30.75</v>
      </c>
    </row>
    <row r="841" spans="1:5" x14ac:dyDescent="0.3">
      <c r="A841">
        <v>342</v>
      </c>
      <c r="B841" t="s">
        <v>65</v>
      </c>
      <c r="C841" s="1">
        <v>44498.708333333336</v>
      </c>
      <c r="D841" s="1">
        <v>44498.753472222219</v>
      </c>
      <c r="E841" s="17">
        <f>IF(Tablo2[[#This Row],[Başlangıç]]="","",(IF(Tablo2[[#This Row],[Bitiş]]="",($G$1-Tablo2[[#This Row],[Başlangıç]])*24,(Tablo2[[#This Row],[Bitiş]]-Tablo2[[#This Row],[Başlangıç]])*24)))</f>
        <v>1.0833333331975155</v>
      </c>
    </row>
    <row r="842" spans="1:5" x14ac:dyDescent="0.3">
      <c r="A842">
        <v>343</v>
      </c>
      <c r="B842" t="s">
        <v>36</v>
      </c>
      <c r="C842" s="1">
        <v>44497.402083333334</v>
      </c>
      <c r="D842" s="1">
        <v>44499.026388888888</v>
      </c>
      <c r="E842" s="17">
        <f>IF(Tablo2[[#This Row],[Başlangıç]]="","",(IF(Tablo2[[#This Row],[Bitiş]]="",($G$1-Tablo2[[#This Row],[Başlangıç]])*24,(Tablo2[[#This Row],[Bitiş]]-Tablo2[[#This Row],[Başlangıç]])*24)))</f>
        <v>38.983333333279006</v>
      </c>
    </row>
    <row r="843" spans="1:5" x14ac:dyDescent="0.3">
      <c r="A843">
        <v>343</v>
      </c>
      <c r="B843" t="s">
        <v>84</v>
      </c>
      <c r="C843" s="1"/>
      <c r="D843" s="1"/>
      <c r="E843" s="17" t="str">
        <f>IF(Tablo2[[#This Row],[Başlangıç]]="","",(IF(Tablo2[[#This Row],[Bitiş]]="",($G$1-Tablo2[[#This Row],[Başlangıç]])*24,(Tablo2[[#This Row],[Bitiş]]-Tablo2[[#This Row],[Başlangıç]])*24)))</f>
        <v/>
      </c>
    </row>
    <row r="844" spans="1:5" x14ac:dyDescent="0.3">
      <c r="A844">
        <v>343</v>
      </c>
      <c r="B844" t="s">
        <v>179</v>
      </c>
      <c r="C844" s="1">
        <v>44497.402083333334</v>
      </c>
      <c r="D844" s="1">
        <v>44497.42291666667</v>
      </c>
      <c r="E84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45" spans="1:5" x14ac:dyDescent="0.3">
      <c r="A845">
        <v>343</v>
      </c>
      <c r="B845" t="s">
        <v>68</v>
      </c>
      <c r="C845" s="1"/>
      <c r="D845" s="1"/>
      <c r="E845" s="17" t="str">
        <f>IF(Tablo2[[#This Row],[Başlangıç]]="","",(IF(Tablo2[[#This Row],[Bitiş]]="",($G$1-Tablo2[[#This Row],[Başlangıç]])*24,(Tablo2[[#This Row],[Bitiş]]-Tablo2[[#This Row],[Başlangıç]])*24)))</f>
        <v/>
      </c>
    </row>
    <row r="846" spans="1:5" x14ac:dyDescent="0.3">
      <c r="A846">
        <v>343</v>
      </c>
      <c r="B846" t="s">
        <v>37</v>
      </c>
      <c r="C846" s="1">
        <v>44499.180555555555</v>
      </c>
      <c r="D846" s="1">
        <v>44499.833333333336</v>
      </c>
      <c r="E846" s="17">
        <f>IF(Tablo2[[#This Row],[Başlangıç]]="","",(IF(Tablo2[[#This Row],[Bitiş]]="",($G$1-Tablo2[[#This Row],[Başlangıç]])*24,(Tablo2[[#This Row],[Bitiş]]-Tablo2[[#This Row],[Başlangıç]])*24)))</f>
        <v>15.666666666744277</v>
      </c>
    </row>
    <row r="847" spans="1:5" x14ac:dyDescent="0.3">
      <c r="A847">
        <v>343</v>
      </c>
      <c r="B847" t="s">
        <v>65</v>
      </c>
      <c r="C847" s="1"/>
      <c r="D847" s="1"/>
      <c r="E847" s="17" t="str">
        <f>IF(Tablo2[[#This Row],[Başlangıç]]="","",(IF(Tablo2[[#This Row],[Bitiş]]="",($G$1-Tablo2[[#This Row],[Başlangıç]])*24,(Tablo2[[#This Row],[Bitiş]]-Tablo2[[#This Row],[Başlangıç]])*24)))</f>
        <v/>
      </c>
    </row>
    <row r="848" spans="1:5" x14ac:dyDescent="0.3">
      <c r="A848">
        <v>344</v>
      </c>
      <c r="B848" t="s">
        <v>36</v>
      </c>
      <c r="C848" s="1">
        <v>44497.708333333336</v>
      </c>
      <c r="D848" s="1">
        <v>44503.708333333336</v>
      </c>
      <c r="E848" s="17">
        <f>IF(Tablo2[[#This Row],[Başlangıç]]="","",(IF(Tablo2[[#This Row],[Bitiş]]="",($G$1-Tablo2[[#This Row],[Başlangıç]])*24,(Tablo2[[#This Row],[Bitiş]]-Tablo2[[#This Row],[Başlangıç]])*24)))</f>
        <v>144</v>
      </c>
    </row>
    <row r="849" spans="1:5" x14ac:dyDescent="0.3">
      <c r="A849">
        <v>344</v>
      </c>
      <c r="B849" t="s">
        <v>84</v>
      </c>
      <c r="C849" s="1">
        <v>44501.9375</v>
      </c>
      <c r="D849" s="1">
        <v>44502.03125</v>
      </c>
      <c r="E849" s="17">
        <f>IF(Tablo2[[#This Row],[Başlangıç]]="","",(IF(Tablo2[[#This Row],[Bitiş]]="",($G$1-Tablo2[[#This Row],[Başlangıç]])*24,(Tablo2[[#This Row],[Bitiş]]-Tablo2[[#This Row],[Başlangıç]])*24)))</f>
        <v>2.25</v>
      </c>
    </row>
    <row r="850" spans="1:5" x14ac:dyDescent="0.3">
      <c r="A850">
        <v>344</v>
      </c>
      <c r="B850" t="s">
        <v>179</v>
      </c>
      <c r="C850" s="1">
        <v>44497.708333333336</v>
      </c>
      <c r="D850" s="1">
        <v>44497.729166666664</v>
      </c>
      <c r="E85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51" spans="1:5" x14ac:dyDescent="0.3">
      <c r="A851">
        <v>344</v>
      </c>
      <c r="B851" t="s">
        <v>68</v>
      </c>
      <c r="C851" s="1">
        <v>44501.5625</v>
      </c>
      <c r="D851" s="1">
        <v>44503.895833333336</v>
      </c>
      <c r="E851" s="17">
        <f>IF(Tablo2[[#This Row],[Başlangıç]]="","",(IF(Tablo2[[#This Row],[Bitiş]]="",($G$1-Tablo2[[#This Row],[Başlangıç]])*24,(Tablo2[[#This Row],[Bitiş]]-Tablo2[[#This Row],[Başlangıç]])*24)))</f>
        <v>56.000000000058208</v>
      </c>
    </row>
    <row r="852" spans="1:5" x14ac:dyDescent="0.3">
      <c r="A852">
        <v>344</v>
      </c>
      <c r="B852" t="s">
        <v>37</v>
      </c>
      <c r="C852" s="1">
        <v>44499.944444444445</v>
      </c>
      <c r="D852" s="1">
        <v>44500.572916666664</v>
      </c>
      <c r="E852" s="17">
        <f>IF(Tablo2[[#This Row],[Başlangıç]]="","",(IF(Tablo2[[#This Row],[Bitiş]]="",($G$1-Tablo2[[#This Row],[Başlangıç]])*24,(Tablo2[[#This Row],[Bitiş]]-Tablo2[[#This Row],[Başlangıç]])*24)))</f>
        <v>15.083333333255723</v>
      </c>
    </row>
    <row r="853" spans="1:5" x14ac:dyDescent="0.3">
      <c r="A853">
        <v>344</v>
      </c>
      <c r="B853" t="s">
        <v>65</v>
      </c>
      <c r="C853" s="1">
        <v>44500.003472222219</v>
      </c>
      <c r="D853" s="1">
        <v>44501.916666666664</v>
      </c>
      <c r="E853" s="17">
        <f>IF(Tablo2[[#This Row],[Başlangıç]]="","",(IF(Tablo2[[#This Row],[Bitiş]]="",($G$1-Tablo2[[#This Row],[Başlangıç]])*24,(Tablo2[[#This Row],[Bitiş]]-Tablo2[[#This Row],[Başlangıç]])*24)))</f>
        <v>45.916666666686069</v>
      </c>
    </row>
    <row r="854" spans="1:5" x14ac:dyDescent="0.3">
      <c r="A854">
        <v>345</v>
      </c>
      <c r="B854" t="s">
        <v>36</v>
      </c>
      <c r="C854" s="1">
        <v>44497.666666666664</v>
      </c>
      <c r="D854" s="1"/>
      <c r="E854" s="17">
        <f ca="1">IF(Tablo2[[#This Row],[Başlangıç]]="","",(IF(Tablo2[[#This Row],[Bitiş]]="",($G$1-Tablo2[[#This Row],[Başlangıç]])*24,(Tablo2[[#This Row],[Bitiş]]-Tablo2[[#This Row],[Başlangıç]])*24)))</f>
        <v>4280.0000000000582</v>
      </c>
    </row>
    <row r="855" spans="1:5" x14ac:dyDescent="0.3">
      <c r="A855">
        <v>345</v>
      </c>
      <c r="B855" t="s">
        <v>84</v>
      </c>
      <c r="C855" s="1"/>
      <c r="D855" s="1"/>
      <c r="E855" s="17" t="str">
        <f>IF(Tablo2[[#This Row],[Başlangıç]]="","",(IF(Tablo2[[#This Row],[Bitiş]]="",($G$1-Tablo2[[#This Row],[Başlangıç]])*24,(Tablo2[[#This Row],[Bitiş]]-Tablo2[[#This Row],[Başlangıç]])*24)))</f>
        <v/>
      </c>
    </row>
    <row r="856" spans="1:5" x14ac:dyDescent="0.3">
      <c r="A856">
        <v>345</v>
      </c>
      <c r="B856" t="s">
        <v>179</v>
      </c>
      <c r="C856" s="1">
        <v>44497.666666666664</v>
      </c>
      <c r="D856" s="1">
        <v>44497.6875</v>
      </c>
      <c r="E8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57" spans="1:5" x14ac:dyDescent="0.3">
      <c r="A857">
        <v>345</v>
      </c>
      <c r="B857" t="s">
        <v>68</v>
      </c>
      <c r="C857" s="1">
        <v>44500.75</v>
      </c>
      <c r="D857" s="1">
        <v>44500.833333333336</v>
      </c>
      <c r="E857" s="17">
        <f>IF(Tablo2[[#This Row],[Başlangıç]]="","",(IF(Tablo2[[#This Row],[Bitiş]]="",($G$1-Tablo2[[#This Row],[Başlangıç]])*24,(Tablo2[[#This Row],[Bitiş]]-Tablo2[[#This Row],[Başlangıç]])*24)))</f>
        <v>2.0000000000582077</v>
      </c>
    </row>
    <row r="858" spans="1:5" x14ac:dyDescent="0.3">
      <c r="A858">
        <v>345</v>
      </c>
      <c r="B858" t="s">
        <v>37</v>
      </c>
      <c r="C858" s="1">
        <v>44499.024305555555</v>
      </c>
      <c r="D858" s="1">
        <v>44499.895833333336</v>
      </c>
      <c r="E858" s="17">
        <f>IF(Tablo2[[#This Row],[Başlangıç]]="","",(IF(Tablo2[[#This Row],[Bitiş]]="",($G$1-Tablo2[[#This Row],[Başlangıç]])*24,(Tablo2[[#This Row],[Bitiş]]-Tablo2[[#This Row],[Başlangıç]])*24)))</f>
        <v>20.916666666744277</v>
      </c>
    </row>
    <row r="859" spans="1:5" x14ac:dyDescent="0.3">
      <c r="A859">
        <v>345</v>
      </c>
      <c r="B859" t="s">
        <v>65</v>
      </c>
      <c r="C859" s="1">
        <v>44510.447916666664</v>
      </c>
      <c r="D859" s="1">
        <v>44510.614583333336</v>
      </c>
      <c r="E859" s="17">
        <f>IF(Tablo2[[#This Row],[Başlangıç]]="","",(IF(Tablo2[[#This Row],[Bitiş]]="",($G$1-Tablo2[[#This Row],[Başlangıç]])*24,(Tablo2[[#This Row],[Bitiş]]-Tablo2[[#This Row],[Başlangıç]])*24)))</f>
        <v>4.0000000001164153</v>
      </c>
    </row>
    <row r="860" spans="1:5" x14ac:dyDescent="0.3">
      <c r="A860">
        <v>346</v>
      </c>
      <c r="B860" t="s">
        <v>36</v>
      </c>
      <c r="C860" s="1">
        <v>44498.666666666664</v>
      </c>
      <c r="D860" s="1">
        <v>44498.826388888891</v>
      </c>
      <c r="E860" s="17">
        <f>IF(Tablo2[[#This Row],[Başlangıç]]="","",(IF(Tablo2[[#This Row],[Bitiş]]="",($G$1-Tablo2[[#This Row],[Başlangıç]])*24,(Tablo2[[#This Row],[Bitiş]]-Tablo2[[#This Row],[Başlangıç]])*24)))</f>
        <v>3.8333333334303461</v>
      </c>
    </row>
    <row r="861" spans="1:5" x14ac:dyDescent="0.3">
      <c r="A861">
        <v>346</v>
      </c>
      <c r="B861" t="s">
        <v>84</v>
      </c>
      <c r="C861" s="1">
        <v>44501.916666666664</v>
      </c>
      <c r="D861" s="1">
        <v>44501.972222222219</v>
      </c>
      <c r="E861" s="17">
        <f>IF(Tablo2[[#This Row],[Başlangıç]]="","",(IF(Tablo2[[#This Row],[Bitiş]]="",($G$1-Tablo2[[#This Row],[Başlangıç]])*24,(Tablo2[[#This Row],[Bitiş]]-Tablo2[[#This Row],[Başlangıç]])*24)))</f>
        <v>1.3333333333139308</v>
      </c>
    </row>
    <row r="862" spans="1:5" x14ac:dyDescent="0.3">
      <c r="A862">
        <v>346</v>
      </c>
      <c r="B862" t="s">
        <v>179</v>
      </c>
      <c r="C862" s="1">
        <v>44498.75</v>
      </c>
      <c r="D862" s="1">
        <v>44498.770833333336</v>
      </c>
      <c r="E86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63" spans="1:5" x14ac:dyDescent="0.3">
      <c r="A863">
        <v>346</v>
      </c>
      <c r="B863" t="s">
        <v>68</v>
      </c>
      <c r="C863" s="1">
        <v>44504.375</v>
      </c>
      <c r="D863" s="1">
        <v>44504.395833333336</v>
      </c>
      <c r="E863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64" spans="1:5" x14ac:dyDescent="0.3">
      <c r="A864">
        <v>346</v>
      </c>
      <c r="B864" t="s">
        <v>37</v>
      </c>
      <c r="C864" s="1">
        <v>44498.930555555555</v>
      </c>
      <c r="D864" s="1">
        <v>44500.240972222222</v>
      </c>
      <c r="E864" s="17">
        <f>IF(Tablo2[[#This Row],[Başlangıç]]="","",(IF(Tablo2[[#This Row],[Bitiş]]="",($G$1-Tablo2[[#This Row],[Başlangıç]])*24,(Tablo2[[#This Row],[Bitiş]]-Tablo2[[#This Row],[Başlangıç]])*24)))</f>
        <v>31.450000000011642</v>
      </c>
    </row>
    <row r="865" spans="1:5" x14ac:dyDescent="0.3">
      <c r="A865">
        <v>346</v>
      </c>
      <c r="B865" t="s">
        <v>65</v>
      </c>
      <c r="C865" s="1"/>
      <c r="D865" s="1"/>
      <c r="E865" s="17" t="str">
        <f>IF(Tablo2[[#This Row],[Başlangıç]]="","",(IF(Tablo2[[#This Row],[Bitiş]]="",($G$1-Tablo2[[#This Row],[Başlangıç]])*24,(Tablo2[[#This Row],[Bitiş]]-Tablo2[[#This Row],[Başlangıç]])*24)))</f>
        <v/>
      </c>
    </row>
    <row r="866" spans="1:5" x14ac:dyDescent="0.3">
      <c r="A866">
        <v>347</v>
      </c>
      <c r="B866" t="s">
        <v>36</v>
      </c>
      <c r="C866" s="1">
        <v>44498.840277777781</v>
      </c>
      <c r="D866" s="1">
        <v>44504.666666666664</v>
      </c>
      <c r="E866" s="17">
        <f>IF(Tablo2[[#This Row],[Başlangıç]]="","",(IF(Tablo2[[#This Row],[Bitiş]]="",($G$1-Tablo2[[#This Row],[Başlangıç]])*24,(Tablo2[[#This Row],[Bitiş]]-Tablo2[[#This Row],[Başlangıç]])*24)))</f>
        <v>139.83333333319752</v>
      </c>
    </row>
    <row r="867" spans="1:5" x14ac:dyDescent="0.3">
      <c r="A867">
        <v>347</v>
      </c>
      <c r="B867" t="s">
        <v>84</v>
      </c>
      <c r="C867" s="1">
        <v>44500.729166666664</v>
      </c>
      <c r="D867" s="1">
        <v>44500.84375</v>
      </c>
      <c r="E867" s="17">
        <f>IF(Tablo2[[#This Row],[Başlangıç]]="","",(IF(Tablo2[[#This Row],[Bitiş]]="",($G$1-Tablo2[[#This Row],[Başlangıç]])*24,(Tablo2[[#This Row],[Bitiş]]-Tablo2[[#This Row],[Başlangıç]])*24)))</f>
        <v>2.7500000000582077</v>
      </c>
    </row>
    <row r="868" spans="1:5" x14ac:dyDescent="0.3">
      <c r="A868">
        <v>347</v>
      </c>
      <c r="B868" t="s">
        <v>179</v>
      </c>
      <c r="C868" s="1">
        <v>44498.840277777781</v>
      </c>
      <c r="D868" s="1">
        <v>44498.861111111109</v>
      </c>
      <c r="E86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869" spans="1:5" x14ac:dyDescent="0.3">
      <c r="A869">
        <v>347</v>
      </c>
      <c r="B869" t="s">
        <v>68</v>
      </c>
      <c r="C869" s="1">
        <v>44502.958333333336</v>
      </c>
      <c r="D869" s="1">
        <v>44504.875</v>
      </c>
      <c r="E869" s="17">
        <f>IF(Tablo2[[#This Row],[Başlangıç]]="","",(IF(Tablo2[[#This Row],[Bitiş]]="",($G$1-Tablo2[[#This Row],[Başlangıç]])*24,(Tablo2[[#This Row],[Bitiş]]-Tablo2[[#This Row],[Başlangıç]])*24)))</f>
        <v>45.999999999941792</v>
      </c>
    </row>
    <row r="870" spans="1:5" x14ac:dyDescent="0.3">
      <c r="A870">
        <v>347</v>
      </c>
      <c r="B870" t="s">
        <v>37</v>
      </c>
      <c r="C870" s="1">
        <v>44500.479166666664</v>
      </c>
      <c r="D870" s="1">
        <v>44501.90625</v>
      </c>
      <c r="E870" s="17">
        <f>IF(Tablo2[[#This Row],[Başlangıç]]="","",(IF(Tablo2[[#This Row],[Bitiş]]="",($G$1-Tablo2[[#This Row],[Başlangıç]])*24,(Tablo2[[#This Row],[Bitiş]]-Tablo2[[#This Row],[Başlangıç]])*24)))</f>
        <v>34.250000000058208</v>
      </c>
    </row>
    <row r="871" spans="1:5" x14ac:dyDescent="0.3">
      <c r="A871">
        <v>347</v>
      </c>
      <c r="B871" t="s">
        <v>65</v>
      </c>
      <c r="C871" s="1">
        <v>44500.479166666664</v>
      </c>
      <c r="D871" s="1">
        <v>44500.944444444445</v>
      </c>
      <c r="E871" s="17">
        <f>IF(Tablo2[[#This Row],[Başlangıç]]="","",(IF(Tablo2[[#This Row],[Bitiş]]="",($G$1-Tablo2[[#This Row],[Başlangıç]])*24,(Tablo2[[#This Row],[Bitiş]]-Tablo2[[#This Row],[Başlangıç]])*24)))</f>
        <v>11.166666666744277</v>
      </c>
    </row>
    <row r="872" spans="1:5" x14ac:dyDescent="0.3">
      <c r="A872">
        <v>348</v>
      </c>
      <c r="B872" t="s">
        <v>36</v>
      </c>
      <c r="C872" s="1">
        <v>44499.268055555556</v>
      </c>
      <c r="D872" s="1">
        <v>44505.708333333336</v>
      </c>
      <c r="E872" s="17">
        <f>IF(Tablo2[[#This Row],[Başlangıç]]="","",(IF(Tablo2[[#This Row],[Bitiş]]="",($G$1-Tablo2[[#This Row],[Başlangıç]])*24,(Tablo2[[#This Row],[Bitiş]]-Tablo2[[#This Row],[Başlangıç]])*24)))</f>
        <v>154.56666666670935</v>
      </c>
    </row>
    <row r="873" spans="1:5" x14ac:dyDescent="0.3">
      <c r="A873">
        <v>348</v>
      </c>
      <c r="B873" t="s">
        <v>84</v>
      </c>
      <c r="C873" s="1">
        <v>44500.770833333336</v>
      </c>
      <c r="D873" s="1">
        <v>44501.916666666664</v>
      </c>
      <c r="E873" s="17">
        <f>IF(Tablo2[[#This Row],[Başlangıç]]="","",(IF(Tablo2[[#This Row],[Bitiş]]="",($G$1-Tablo2[[#This Row],[Başlangıç]])*24,(Tablo2[[#This Row],[Bitiş]]-Tablo2[[#This Row],[Başlangıç]])*24)))</f>
        <v>27.499999999883585</v>
      </c>
    </row>
    <row r="874" spans="1:5" x14ac:dyDescent="0.3">
      <c r="A874">
        <v>348</v>
      </c>
      <c r="B874" t="s">
        <v>179</v>
      </c>
      <c r="C874" s="1">
        <v>44499.268055555556</v>
      </c>
      <c r="D874" s="1">
        <v>44499.288888888892</v>
      </c>
      <c r="E8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75" spans="1:5" x14ac:dyDescent="0.3">
      <c r="A875">
        <v>348</v>
      </c>
      <c r="B875" t="s">
        <v>68</v>
      </c>
      <c r="C875" s="1">
        <v>44501.666666666664</v>
      </c>
      <c r="D875" s="1">
        <v>44505.875</v>
      </c>
      <c r="E875" s="17">
        <f>IF(Tablo2[[#This Row],[Başlangıç]]="","",(IF(Tablo2[[#This Row],[Bitiş]]="",($G$1-Tablo2[[#This Row],[Başlangıç]])*24,(Tablo2[[#This Row],[Bitiş]]-Tablo2[[#This Row],[Başlangıç]])*24)))</f>
        <v>101.00000000005821</v>
      </c>
    </row>
    <row r="876" spans="1:5" x14ac:dyDescent="0.3">
      <c r="A876">
        <v>348</v>
      </c>
      <c r="B876" t="s">
        <v>37</v>
      </c>
      <c r="C876" s="1">
        <v>44501.229166666664</v>
      </c>
      <c r="D876" s="1">
        <v>44505.263888888891</v>
      </c>
      <c r="E876" s="17">
        <f>IF(Tablo2[[#This Row],[Başlangıç]]="","",(IF(Tablo2[[#This Row],[Bitiş]]="",($G$1-Tablo2[[#This Row],[Başlangıç]])*24,(Tablo2[[#This Row],[Bitiş]]-Tablo2[[#This Row],[Başlangıç]])*24)))</f>
        <v>96.833333333430346</v>
      </c>
    </row>
    <row r="877" spans="1:5" x14ac:dyDescent="0.3">
      <c r="A877">
        <v>348</v>
      </c>
      <c r="B877" t="s">
        <v>65</v>
      </c>
      <c r="C877" s="1">
        <v>44501.305555555555</v>
      </c>
      <c r="D877" s="1">
        <v>44501.864583333336</v>
      </c>
      <c r="E877" s="17">
        <f>IF(Tablo2[[#This Row],[Başlangıç]]="","",(IF(Tablo2[[#This Row],[Bitiş]]="",($G$1-Tablo2[[#This Row],[Başlangıç]])*24,(Tablo2[[#This Row],[Bitiş]]-Tablo2[[#This Row],[Başlangıç]])*24)))</f>
        <v>13.416666666744277</v>
      </c>
    </row>
    <row r="878" spans="1:5" x14ac:dyDescent="0.3">
      <c r="A878">
        <v>349</v>
      </c>
      <c r="B878" t="s">
        <v>36</v>
      </c>
      <c r="C878" s="1">
        <v>44499.753472222219</v>
      </c>
      <c r="D878" s="1">
        <v>44504.666666666664</v>
      </c>
      <c r="E878" s="17">
        <f>IF(Tablo2[[#This Row],[Başlangıç]]="","",(IF(Tablo2[[#This Row],[Bitiş]]="",($G$1-Tablo2[[#This Row],[Başlangıç]])*24,(Tablo2[[#This Row],[Bitiş]]-Tablo2[[#This Row],[Başlangıç]])*24)))</f>
        <v>117.91666666668607</v>
      </c>
    </row>
    <row r="879" spans="1:5" x14ac:dyDescent="0.3">
      <c r="A879">
        <v>349</v>
      </c>
      <c r="B879" t="s">
        <v>84</v>
      </c>
      <c r="C879" s="1">
        <v>44501.215277777781</v>
      </c>
      <c r="D879" s="1">
        <v>44501.322916666664</v>
      </c>
      <c r="E879" s="17">
        <f>IF(Tablo2[[#This Row],[Başlangıç]]="","",(IF(Tablo2[[#This Row],[Bitiş]]="",($G$1-Tablo2[[#This Row],[Başlangıç]])*24,(Tablo2[[#This Row],[Bitiş]]-Tablo2[[#This Row],[Başlangıç]])*24)))</f>
        <v>2.5833333331975155</v>
      </c>
    </row>
    <row r="880" spans="1:5" x14ac:dyDescent="0.3">
      <c r="A880">
        <v>349</v>
      </c>
      <c r="B880" t="s">
        <v>179</v>
      </c>
      <c r="C880" s="1">
        <v>44499.758333333331</v>
      </c>
      <c r="D880" s="1">
        <v>44499.779166666667</v>
      </c>
      <c r="E8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81" spans="1:5" x14ac:dyDescent="0.3">
      <c r="A881">
        <v>349</v>
      </c>
      <c r="B881" t="s">
        <v>68</v>
      </c>
      <c r="C881" s="1">
        <v>44503.895833333336</v>
      </c>
      <c r="D881" s="1">
        <v>44504.947916666664</v>
      </c>
      <c r="E881" s="17">
        <f>IF(Tablo2[[#This Row],[Başlangıç]]="","",(IF(Tablo2[[#This Row],[Bitiş]]="",($G$1-Tablo2[[#This Row],[Başlangıç]])*24,(Tablo2[[#This Row],[Bitiş]]-Tablo2[[#This Row],[Başlangıç]])*24)))</f>
        <v>25.249999999883585</v>
      </c>
    </row>
    <row r="882" spans="1:5" x14ac:dyDescent="0.3">
      <c r="A882">
        <v>349</v>
      </c>
      <c r="B882" t="s">
        <v>37</v>
      </c>
      <c r="C882" s="1">
        <v>44500.020833333336</v>
      </c>
      <c r="D882" s="1">
        <v>44502.194444444445</v>
      </c>
      <c r="E882" s="17">
        <f>IF(Tablo2[[#This Row],[Başlangıç]]="","",(IF(Tablo2[[#This Row],[Bitiş]]="",($G$1-Tablo2[[#This Row],[Başlangıç]])*24,(Tablo2[[#This Row],[Bitiş]]-Tablo2[[#This Row],[Başlangıç]])*24)))</f>
        <v>52.166666666627862</v>
      </c>
    </row>
    <row r="883" spans="1:5" x14ac:dyDescent="0.3">
      <c r="A883">
        <v>349</v>
      </c>
      <c r="B883" t="s">
        <v>65</v>
      </c>
      <c r="C883" s="1">
        <v>44500.974999999999</v>
      </c>
      <c r="D883" s="1">
        <v>44501.645833333336</v>
      </c>
      <c r="E883" s="17">
        <f>IF(Tablo2[[#This Row],[Başlangıç]]="","",(IF(Tablo2[[#This Row],[Bitiş]]="",($G$1-Tablo2[[#This Row],[Başlangıç]])*24,(Tablo2[[#This Row],[Bitiş]]-Tablo2[[#This Row],[Başlangıç]])*24)))</f>
        <v>16.100000000093132</v>
      </c>
    </row>
    <row r="884" spans="1:5" x14ac:dyDescent="0.3">
      <c r="A884">
        <v>350</v>
      </c>
      <c r="B884" t="s">
        <v>36</v>
      </c>
      <c r="C884" s="1">
        <v>44500.685416666667</v>
      </c>
      <c r="D884" s="1"/>
      <c r="E884" s="17">
        <f ca="1">IF(Tablo2[[#This Row],[Başlangıç]]="","",(IF(Tablo2[[#This Row],[Bitiş]]="",($G$1-Tablo2[[#This Row],[Başlangıç]])*24,(Tablo2[[#This Row],[Bitiş]]-Tablo2[[#This Row],[Başlangıç]])*24)))</f>
        <v>4207.5499999999884</v>
      </c>
    </row>
    <row r="885" spans="1:5" x14ac:dyDescent="0.3">
      <c r="A885">
        <v>350</v>
      </c>
      <c r="B885" t="s">
        <v>84</v>
      </c>
      <c r="C885" s="1"/>
      <c r="D885" s="1"/>
      <c r="E885" s="17" t="str">
        <f>IF(Tablo2[[#This Row],[Başlangıç]]="","",(IF(Tablo2[[#This Row],[Bitiş]]="",($G$1-Tablo2[[#This Row],[Başlangıç]])*24,(Tablo2[[#This Row],[Bitiş]]-Tablo2[[#This Row],[Başlangıç]])*24)))</f>
        <v/>
      </c>
    </row>
    <row r="886" spans="1:5" x14ac:dyDescent="0.3">
      <c r="A886">
        <v>350</v>
      </c>
      <c r="B886" t="s">
        <v>179</v>
      </c>
      <c r="C886" s="1">
        <v>44500.685416666667</v>
      </c>
      <c r="D886" s="1">
        <v>44500.706250000003</v>
      </c>
      <c r="E88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87" spans="1:5" x14ac:dyDescent="0.3">
      <c r="A887">
        <v>350</v>
      </c>
      <c r="B887" t="s">
        <v>68</v>
      </c>
      <c r="C887" s="1">
        <v>44505.708333333336</v>
      </c>
      <c r="D887" s="1">
        <v>44505.979166666664</v>
      </c>
      <c r="E887" s="17">
        <f>IF(Tablo2[[#This Row],[Başlangıç]]="","",(IF(Tablo2[[#This Row],[Bitiş]]="",($G$1-Tablo2[[#This Row],[Başlangıç]])*24,(Tablo2[[#This Row],[Bitiş]]-Tablo2[[#This Row],[Başlangıç]])*24)))</f>
        <v>6.4999999998835847</v>
      </c>
    </row>
    <row r="888" spans="1:5" x14ac:dyDescent="0.3">
      <c r="A888">
        <v>350</v>
      </c>
      <c r="B888" t="s">
        <v>37</v>
      </c>
      <c r="C888" s="1">
        <v>44502.583333333336</v>
      </c>
      <c r="D888" s="1">
        <v>44505.072916666664</v>
      </c>
      <c r="E888" s="17">
        <f>IF(Tablo2[[#This Row],[Başlangıç]]="","",(IF(Tablo2[[#This Row],[Bitiş]]="",($G$1-Tablo2[[#This Row],[Başlangıç]])*24,(Tablo2[[#This Row],[Bitiş]]-Tablo2[[#This Row],[Başlangıç]])*24)))</f>
        <v>59.749999999883585</v>
      </c>
    </row>
    <row r="889" spans="1:5" x14ac:dyDescent="0.3">
      <c r="A889">
        <v>350</v>
      </c>
      <c r="B889" t="s">
        <v>65</v>
      </c>
      <c r="C889" s="1">
        <v>44501.833333333336</v>
      </c>
      <c r="D889" s="1">
        <v>44501.864583333336</v>
      </c>
      <c r="E889" s="17">
        <f>IF(Tablo2[[#This Row],[Başlangıç]]="","",(IF(Tablo2[[#This Row],[Bitiş]]="",($G$1-Tablo2[[#This Row],[Başlangıç]])*24,(Tablo2[[#This Row],[Bitiş]]-Tablo2[[#This Row],[Başlangıç]])*24)))</f>
        <v>0.75</v>
      </c>
    </row>
    <row r="890" spans="1:5" x14ac:dyDescent="0.3">
      <c r="A890">
        <v>351</v>
      </c>
      <c r="B890" t="s">
        <v>36</v>
      </c>
      <c r="C890" s="1">
        <v>44500.784722222219</v>
      </c>
      <c r="D890" s="1">
        <v>44502.288194444445</v>
      </c>
      <c r="E890" s="17">
        <f>IF(Tablo2[[#This Row],[Başlangıç]]="","",(IF(Tablo2[[#This Row],[Bitiş]]="",($G$1-Tablo2[[#This Row],[Başlangıç]])*24,(Tablo2[[#This Row],[Bitiş]]-Tablo2[[#This Row],[Başlangıç]])*24)))</f>
        <v>36.083333333430346</v>
      </c>
    </row>
    <row r="891" spans="1:5" x14ac:dyDescent="0.3">
      <c r="A891">
        <v>351</v>
      </c>
      <c r="B891" t="s">
        <v>84</v>
      </c>
      <c r="C891" s="1"/>
      <c r="D891" s="1"/>
      <c r="E891" s="17" t="str">
        <f>IF(Tablo2[[#This Row],[Başlangıç]]="","",(IF(Tablo2[[#This Row],[Bitiş]]="",($G$1-Tablo2[[#This Row],[Başlangıç]])*24,(Tablo2[[#This Row],[Bitiş]]-Tablo2[[#This Row],[Başlangıç]])*24)))</f>
        <v/>
      </c>
    </row>
    <row r="892" spans="1:5" x14ac:dyDescent="0.3">
      <c r="A892">
        <v>351</v>
      </c>
      <c r="B892" t="s">
        <v>179</v>
      </c>
      <c r="C892" s="1">
        <v>44500.784722222219</v>
      </c>
      <c r="D892" s="1">
        <v>44500.805555555555</v>
      </c>
      <c r="E89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93" spans="1:5" x14ac:dyDescent="0.3">
      <c r="A893">
        <v>351</v>
      </c>
      <c r="B893" t="s">
        <v>68</v>
      </c>
      <c r="C893" s="1">
        <v>44505.333333333336</v>
      </c>
      <c r="D893" s="1">
        <v>44505.395833333336</v>
      </c>
      <c r="E893" s="17">
        <f>IF(Tablo2[[#This Row],[Başlangıç]]="","",(IF(Tablo2[[#This Row],[Bitiş]]="",($G$1-Tablo2[[#This Row],[Başlangıç]])*24,(Tablo2[[#This Row],[Bitiş]]-Tablo2[[#This Row],[Başlangıç]])*24)))</f>
        <v>1.5</v>
      </c>
    </row>
    <row r="894" spans="1:5" x14ac:dyDescent="0.3">
      <c r="A894">
        <v>351</v>
      </c>
      <c r="B894" t="s">
        <v>37</v>
      </c>
      <c r="C894" s="1">
        <v>44501.770833333336</v>
      </c>
      <c r="D894" s="1">
        <v>44503.46875</v>
      </c>
      <c r="E894" s="17">
        <f>IF(Tablo2[[#This Row],[Başlangıç]]="","",(IF(Tablo2[[#This Row],[Bitiş]]="",($G$1-Tablo2[[#This Row],[Başlangıç]])*24,(Tablo2[[#This Row],[Bitiş]]-Tablo2[[#This Row],[Başlangıç]])*24)))</f>
        <v>40.749999999941792</v>
      </c>
    </row>
    <row r="895" spans="1:5" x14ac:dyDescent="0.3">
      <c r="A895">
        <v>351</v>
      </c>
      <c r="B895" t="s">
        <v>65</v>
      </c>
      <c r="C895" s="1"/>
      <c r="D895" s="1"/>
      <c r="E895" s="17" t="str">
        <f>IF(Tablo2[[#This Row],[Başlangıç]]="","",(IF(Tablo2[[#This Row],[Bitiş]]="",($G$1-Tablo2[[#This Row],[Başlangıç]])*24,(Tablo2[[#This Row],[Bitiş]]-Tablo2[[#This Row],[Başlangıç]])*24)))</f>
        <v/>
      </c>
    </row>
    <row r="896" spans="1:5" x14ac:dyDescent="0.3">
      <c r="A896">
        <v>352</v>
      </c>
      <c r="B896" t="s">
        <v>36</v>
      </c>
      <c r="C896" s="1">
        <v>44501.398611111108</v>
      </c>
      <c r="D896" s="1"/>
      <c r="E896" s="17">
        <f ca="1">IF(Tablo2[[#This Row],[Başlangıç]]="","",(IF(Tablo2[[#This Row],[Bitiş]]="",($G$1-Tablo2[[#This Row],[Başlangıç]])*24,(Tablo2[[#This Row],[Bitiş]]-Tablo2[[#This Row],[Başlangıç]])*24)))</f>
        <v>4190.4333333334071</v>
      </c>
    </row>
    <row r="897" spans="1:5" x14ac:dyDescent="0.3">
      <c r="A897">
        <v>352</v>
      </c>
      <c r="B897" t="s">
        <v>84</v>
      </c>
      <c r="C897" s="1">
        <v>44506.215277777781</v>
      </c>
      <c r="D897" s="1">
        <v>44506.277777777781</v>
      </c>
      <c r="E897" s="17">
        <f>IF(Tablo2[[#This Row],[Başlangıç]]="","",(IF(Tablo2[[#This Row],[Bitiş]]="",($G$1-Tablo2[[#This Row],[Başlangıç]])*24,(Tablo2[[#This Row],[Bitiş]]-Tablo2[[#This Row],[Başlangıç]])*24)))</f>
        <v>1.5</v>
      </c>
    </row>
    <row r="898" spans="1:5" x14ac:dyDescent="0.3">
      <c r="A898">
        <v>352</v>
      </c>
      <c r="B898" t="s">
        <v>179</v>
      </c>
      <c r="C898" s="1">
        <v>44501.398611111108</v>
      </c>
      <c r="D898" s="1">
        <v>44501.419444444444</v>
      </c>
      <c r="E89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899" spans="1:5" x14ac:dyDescent="0.3">
      <c r="A899">
        <v>352</v>
      </c>
      <c r="B899" t="s">
        <v>68</v>
      </c>
      <c r="C899" s="1">
        <v>44507.395833333336</v>
      </c>
      <c r="D899" s="1">
        <v>44507.979861111111</v>
      </c>
      <c r="E899" s="17">
        <f>IF(Tablo2[[#This Row],[Başlangıç]]="","",(IF(Tablo2[[#This Row],[Bitiş]]="",($G$1-Tablo2[[#This Row],[Başlangıç]])*24,(Tablo2[[#This Row],[Bitiş]]-Tablo2[[#This Row],[Başlangıç]])*24)))</f>
        <v>14.016666666604578</v>
      </c>
    </row>
    <row r="900" spans="1:5" x14ac:dyDescent="0.3">
      <c r="A900">
        <v>352</v>
      </c>
      <c r="B900" t="s">
        <v>37</v>
      </c>
      <c r="C900" s="1">
        <v>44502.204861111109</v>
      </c>
      <c r="D900" s="1">
        <v>44506.128472222219</v>
      </c>
      <c r="E900" s="17">
        <f>IF(Tablo2[[#This Row],[Başlangıç]]="","",(IF(Tablo2[[#This Row],[Bitiş]]="",($G$1-Tablo2[[#This Row],[Başlangıç]])*24,(Tablo2[[#This Row],[Bitiş]]-Tablo2[[#This Row],[Başlangıç]])*24)))</f>
        <v>94.166666666627862</v>
      </c>
    </row>
    <row r="901" spans="1:5" x14ac:dyDescent="0.3">
      <c r="A901">
        <v>352</v>
      </c>
      <c r="B901" t="s">
        <v>65</v>
      </c>
      <c r="C901" s="1"/>
      <c r="D901" s="1"/>
      <c r="E901" s="17" t="str">
        <f>IF(Tablo2[[#This Row],[Başlangıç]]="","",(IF(Tablo2[[#This Row],[Bitiş]]="",($G$1-Tablo2[[#This Row],[Başlangıç]])*24,(Tablo2[[#This Row],[Bitiş]]-Tablo2[[#This Row],[Başlangıç]])*24)))</f>
        <v/>
      </c>
    </row>
    <row r="902" spans="1:5" x14ac:dyDescent="0.3">
      <c r="A902">
        <v>353</v>
      </c>
      <c r="B902" t="s">
        <v>36</v>
      </c>
      <c r="C902" s="1">
        <v>44502.833333333336</v>
      </c>
      <c r="D902" s="1">
        <v>44503.291666666664</v>
      </c>
      <c r="E902" s="17">
        <f>IF(Tablo2[[#This Row],[Başlangıç]]="","",(IF(Tablo2[[#This Row],[Bitiş]]="",($G$1-Tablo2[[#This Row],[Başlangıç]])*24,(Tablo2[[#This Row],[Bitiş]]-Tablo2[[#This Row],[Başlangıç]])*24)))</f>
        <v>10.999999999883585</v>
      </c>
    </row>
    <row r="903" spans="1:5" x14ac:dyDescent="0.3">
      <c r="A903">
        <v>353</v>
      </c>
      <c r="B903" t="s">
        <v>84</v>
      </c>
      <c r="C903" s="1"/>
      <c r="D903" s="1"/>
      <c r="E903" s="17" t="str">
        <f>IF(Tablo2[[#This Row],[Başlangıç]]="","",(IF(Tablo2[[#This Row],[Bitiş]]="",($G$1-Tablo2[[#This Row],[Başlangıç]])*24,(Tablo2[[#This Row],[Bitiş]]-Tablo2[[#This Row],[Başlangıç]])*24)))</f>
        <v/>
      </c>
    </row>
    <row r="904" spans="1:5" x14ac:dyDescent="0.3">
      <c r="A904">
        <v>353</v>
      </c>
      <c r="B904" t="s">
        <v>179</v>
      </c>
      <c r="C904" s="1">
        <v>44502.833333333336</v>
      </c>
      <c r="D904" s="1">
        <v>44502.854166666664</v>
      </c>
      <c r="E90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05" spans="1:5" x14ac:dyDescent="0.3">
      <c r="A905">
        <v>353</v>
      </c>
      <c r="B905" t="s">
        <v>68</v>
      </c>
      <c r="C905" s="1">
        <v>44511.041666666664</v>
      </c>
      <c r="D905" s="1">
        <v>44511.145833333336</v>
      </c>
      <c r="E905" s="17">
        <f>IF(Tablo2[[#This Row],[Başlangıç]]="","",(IF(Tablo2[[#This Row],[Bitiş]]="",($G$1-Tablo2[[#This Row],[Başlangıç]])*24,(Tablo2[[#This Row],[Bitiş]]-Tablo2[[#This Row],[Başlangıç]])*24)))</f>
        <v>2.5000000001164153</v>
      </c>
    </row>
    <row r="906" spans="1:5" x14ac:dyDescent="0.3">
      <c r="A906">
        <v>353</v>
      </c>
      <c r="B906" t="s">
        <v>37</v>
      </c>
      <c r="C906" s="1">
        <v>44503.548611111109</v>
      </c>
      <c r="D906" s="1">
        <v>44505.083333333336</v>
      </c>
      <c r="E906" s="17">
        <f>IF(Tablo2[[#This Row],[Başlangıç]]="","",(IF(Tablo2[[#This Row],[Bitiş]]="",($G$1-Tablo2[[#This Row],[Başlangıç]])*24,(Tablo2[[#This Row],[Bitiş]]-Tablo2[[#This Row],[Başlangıç]])*24)))</f>
        <v>36.833333333430346</v>
      </c>
    </row>
    <row r="907" spans="1:5" x14ac:dyDescent="0.3">
      <c r="A907">
        <v>353</v>
      </c>
      <c r="B907" t="s">
        <v>65</v>
      </c>
      <c r="C907" s="1"/>
      <c r="D907" s="1"/>
      <c r="E907" s="17" t="str">
        <f>IF(Tablo2[[#This Row],[Başlangıç]]="","",(IF(Tablo2[[#This Row],[Bitiş]]="",($G$1-Tablo2[[#This Row],[Başlangıç]])*24,(Tablo2[[#This Row],[Bitiş]]-Tablo2[[#This Row],[Başlangıç]])*24)))</f>
        <v/>
      </c>
    </row>
    <row r="908" spans="1:5" x14ac:dyDescent="0.3">
      <c r="A908">
        <v>354</v>
      </c>
      <c r="B908" t="s">
        <v>36</v>
      </c>
      <c r="C908" s="1">
        <v>44503.947222222225</v>
      </c>
      <c r="D908" s="1"/>
      <c r="E908" s="17">
        <f ca="1">IF(Tablo2[[#This Row],[Başlangıç]]="","",(IF(Tablo2[[#This Row],[Bitiş]]="",($G$1-Tablo2[[#This Row],[Başlangıç]])*24,(Tablo2[[#This Row],[Bitiş]]-Tablo2[[#This Row],[Başlangıç]])*24)))</f>
        <v>4129.2666666666046</v>
      </c>
    </row>
    <row r="909" spans="1:5" x14ac:dyDescent="0.3">
      <c r="A909">
        <v>354</v>
      </c>
      <c r="B909" t="s">
        <v>84</v>
      </c>
      <c r="C909" s="1"/>
      <c r="D909" s="1"/>
      <c r="E909" s="17" t="str">
        <f>IF(Tablo2[[#This Row],[Başlangıç]]="","",(IF(Tablo2[[#This Row],[Bitiş]]="",($G$1-Tablo2[[#This Row],[Başlangıç]])*24,(Tablo2[[#This Row],[Bitiş]]-Tablo2[[#This Row],[Başlangıç]])*24)))</f>
        <v/>
      </c>
    </row>
    <row r="910" spans="1:5" x14ac:dyDescent="0.3">
      <c r="A910">
        <v>354</v>
      </c>
      <c r="B910" t="s">
        <v>179</v>
      </c>
      <c r="C910" s="1">
        <v>44503.947222222225</v>
      </c>
      <c r="D910" s="1">
        <v>44503.968055555553</v>
      </c>
      <c r="E91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11" spans="1:5" x14ac:dyDescent="0.3">
      <c r="A911">
        <v>354</v>
      </c>
      <c r="B911" t="s">
        <v>68</v>
      </c>
      <c r="C911" s="1">
        <v>44508.854166666664</v>
      </c>
      <c r="D911" s="1">
        <v>44508.986111111109</v>
      </c>
      <c r="E911" s="17">
        <f>IF(Tablo2[[#This Row],[Başlangıç]]="","",(IF(Tablo2[[#This Row],[Bitiş]]="",($G$1-Tablo2[[#This Row],[Başlangıç]])*24,(Tablo2[[#This Row],[Bitiş]]-Tablo2[[#This Row],[Başlangıç]])*24)))</f>
        <v>3.1666666666860692</v>
      </c>
    </row>
    <row r="912" spans="1:5" x14ac:dyDescent="0.3">
      <c r="A912">
        <v>354</v>
      </c>
      <c r="B912" t="s">
        <v>37</v>
      </c>
      <c r="C912" s="1">
        <v>44503.104166666664</v>
      </c>
      <c r="D912" s="1">
        <v>44507.75</v>
      </c>
      <c r="E912" s="17">
        <f>IF(Tablo2[[#This Row],[Başlangıç]]="","",(IF(Tablo2[[#This Row],[Bitiş]]="",($G$1-Tablo2[[#This Row],[Başlangıç]])*24,(Tablo2[[#This Row],[Bitiş]]-Tablo2[[#This Row],[Başlangıç]])*24)))</f>
        <v>111.50000000005821</v>
      </c>
    </row>
    <row r="913" spans="1:5" x14ac:dyDescent="0.3">
      <c r="A913">
        <v>354</v>
      </c>
      <c r="B913" t="s">
        <v>65</v>
      </c>
      <c r="C913" s="1"/>
      <c r="D913" s="1"/>
      <c r="E913" s="17" t="str">
        <f>IF(Tablo2[[#This Row],[Başlangıç]]="","",(IF(Tablo2[[#This Row],[Bitiş]]="",($G$1-Tablo2[[#This Row],[Başlangıç]])*24,(Tablo2[[#This Row],[Bitiş]]-Tablo2[[#This Row],[Başlangıç]])*24)))</f>
        <v/>
      </c>
    </row>
    <row r="914" spans="1:5" x14ac:dyDescent="0.3">
      <c r="A914">
        <v>355</v>
      </c>
      <c r="B914" t="s">
        <v>36</v>
      </c>
      <c r="C914" s="1">
        <v>44502.729166666664</v>
      </c>
      <c r="D914" s="1">
        <v>44503.53125</v>
      </c>
      <c r="E914" s="17">
        <f>IF(Tablo2[[#This Row],[Başlangıç]]="","",(IF(Tablo2[[#This Row],[Bitiş]]="",($G$1-Tablo2[[#This Row],[Başlangıç]])*24,(Tablo2[[#This Row],[Bitiş]]-Tablo2[[#This Row],[Başlangıç]])*24)))</f>
        <v>19.250000000058208</v>
      </c>
    </row>
    <row r="915" spans="1:5" x14ac:dyDescent="0.3">
      <c r="A915">
        <v>355</v>
      </c>
      <c r="B915" t="s">
        <v>84</v>
      </c>
      <c r="C915" s="1">
        <v>44505.479166666664</v>
      </c>
      <c r="D915" s="1">
        <v>44505.541666666664</v>
      </c>
      <c r="E915" s="17">
        <f>IF(Tablo2[[#This Row],[Başlangıç]]="","",(IF(Tablo2[[#This Row],[Bitiş]]="",($G$1-Tablo2[[#This Row],[Başlangıç]])*24,(Tablo2[[#This Row],[Bitiş]]-Tablo2[[#This Row],[Başlangıç]])*24)))</f>
        <v>1.5</v>
      </c>
    </row>
    <row r="916" spans="1:5" x14ac:dyDescent="0.3">
      <c r="A916">
        <v>355</v>
      </c>
      <c r="B916" t="s">
        <v>179</v>
      </c>
      <c r="C916" s="1">
        <v>44502.729166666664</v>
      </c>
      <c r="D916" s="1">
        <v>44502.75</v>
      </c>
      <c r="E91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17" spans="1:5" x14ac:dyDescent="0.3">
      <c r="A917">
        <v>355</v>
      </c>
      <c r="B917" t="s">
        <v>68</v>
      </c>
      <c r="C917" s="1">
        <v>44505.947916666664</v>
      </c>
      <c r="D917" s="1">
        <v>44505.989583333336</v>
      </c>
      <c r="E917" s="17">
        <f>IF(Tablo2[[#This Row],[Başlangıç]]="","",(IF(Tablo2[[#This Row],[Bitiş]]="",($G$1-Tablo2[[#This Row],[Başlangıç]])*24,(Tablo2[[#This Row],[Bitiş]]-Tablo2[[#This Row],[Başlangıç]])*24)))</f>
        <v>1.0000000001164153</v>
      </c>
    </row>
    <row r="918" spans="1:5" x14ac:dyDescent="0.3">
      <c r="A918">
        <v>355</v>
      </c>
      <c r="B918" t="s">
        <v>37</v>
      </c>
      <c r="C918" s="1">
        <v>44503.486111111109</v>
      </c>
      <c r="D918" s="1">
        <v>44508.538194444445</v>
      </c>
      <c r="E918" s="17">
        <f>IF(Tablo2[[#This Row],[Başlangıç]]="","",(IF(Tablo2[[#This Row],[Bitiş]]="",($G$1-Tablo2[[#This Row],[Başlangıç]])*24,(Tablo2[[#This Row],[Bitiş]]-Tablo2[[#This Row],[Başlangıç]])*24)))</f>
        <v>121.25000000005821</v>
      </c>
    </row>
    <row r="919" spans="1:5" x14ac:dyDescent="0.3">
      <c r="A919">
        <v>355</v>
      </c>
      <c r="B919" t="s">
        <v>65</v>
      </c>
      <c r="C919" s="1"/>
      <c r="D919" s="1"/>
      <c r="E919" s="17" t="str">
        <f>IF(Tablo2[[#This Row],[Başlangıç]]="","",(IF(Tablo2[[#This Row],[Bitiş]]="",($G$1-Tablo2[[#This Row],[Başlangıç]])*24,(Tablo2[[#This Row],[Bitiş]]-Tablo2[[#This Row],[Başlangıç]])*24)))</f>
        <v/>
      </c>
    </row>
    <row r="920" spans="1:5" x14ac:dyDescent="0.3">
      <c r="A920">
        <v>356</v>
      </c>
      <c r="B920" t="s">
        <v>36</v>
      </c>
      <c r="C920" s="1">
        <v>44503.426388888889</v>
      </c>
      <c r="D920" s="1">
        <v>44508.583333333336</v>
      </c>
      <c r="E920" s="17">
        <f>IF(Tablo2[[#This Row],[Başlangıç]]="","",(IF(Tablo2[[#This Row],[Bitiş]]="",($G$1-Tablo2[[#This Row],[Başlangıç]])*24,(Tablo2[[#This Row],[Bitiş]]-Tablo2[[#This Row],[Başlangıç]])*24)))</f>
        <v>123.76666666672099</v>
      </c>
    </row>
    <row r="921" spans="1:5" x14ac:dyDescent="0.3">
      <c r="A921">
        <v>356</v>
      </c>
      <c r="B921" t="s">
        <v>84</v>
      </c>
      <c r="C921" s="1">
        <v>44504.916666666664</v>
      </c>
      <c r="D921" s="1">
        <v>44505.010416666664</v>
      </c>
      <c r="E921" s="17">
        <f>IF(Tablo2[[#This Row],[Başlangıç]]="","",(IF(Tablo2[[#This Row],[Bitiş]]="",($G$1-Tablo2[[#This Row],[Başlangıç]])*24,(Tablo2[[#This Row],[Bitiş]]-Tablo2[[#This Row],[Başlangıç]])*24)))</f>
        <v>2.25</v>
      </c>
    </row>
    <row r="922" spans="1:5" x14ac:dyDescent="0.3">
      <c r="A922">
        <v>356</v>
      </c>
      <c r="B922" t="s">
        <v>179</v>
      </c>
      <c r="C922" s="1">
        <v>44503.426388888889</v>
      </c>
      <c r="D922" s="1">
        <v>44503.447222222225</v>
      </c>
      <c r="E9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23" spans="1:5" x14ac:dyDescent="0.3">
      <c r="A923">
        <v>356</v>
      </c>
      <c r="B923" t="s">
        <v>68</v>
      </c>
      <c r="C923" s="1">
        <v>44508.375</v>
      </c>
      <c r="D923" s="1">
        <v>44508.761805555558</v>
      </c>
      <c r="E923" s="17">
        <f>IF(Tablo2[[#This Row],[Başlangıç]]="","",(IF(Tablo2[[#This Row],[Bitiş]]="",($G$1-Tablo2[[#This Row],[Başlangıç]])*24,(Tablo2[[#This Row],[Bitiş]]-Tablo2[[#This Row],[Başlangıç]])*24)))</f>
        <v>9.28333333338378</v>
      </c>
    </row>
    <row r="924" spans="1:5" x14ac:dyDescent="0.3">
      <c r="A924">
        <v>356</v>
      </c>
      <c r="B924" t="s">
        <v>37</v>
      </c>
      <c r="C924" s="1">
        <v>44503.6875</v>
      </c>
      <c r="D924" s="1">
        <v>373223.77777777775</v>
      </c>
      <c r="E924" s="17">
        <f>IF(Tablo2[[#This Row],[Başlangıç]]="","",(IF(Tablo2[[#This Row],[Bitiş]]="",($G$1-Tablo2[[#This Row],[Başlangıç]])*24,(Tablo2[[#This Row],[Bitiş]]-Tablo2[[#This Row],[Başlangıç]])*24)))</f>
        <v>7889282.166666666</v>
      </c>
    </row>
    <row r="925" spans="1:5" x14ac:dyDescent="0.3">
      <c r="A925">
        <v>356</v>
      </c>
      <c r="B925" t="s">
        <v>65</v>
      </c>
      <c r="C925" s="1">
        <v>44504.333333333336</v>
      </c>
      <c r="D925" s="1">
        <v>44504.916666666664</v>
      </c>
      <c r="E925" s="17">
        <f>IF(Tablo2[[#This Row],[Başlangıç]]="","",(IF(Tablo2[[#This Row],[Bitiş]]="",($G$1-Tablo2[[#This Row],[Başlangıç]])*24,(Tablo2[[#This Row],[Bitiş]]-Tablo2[[#This Row],[Başlangıç]])*24)))</f>
        <v>13.999999999883585</v>
      </c>
    </row>
    <row r="926" spans="1:5" x14ac:dyDescent="0.3">
      <c r="A926">
        <v>357</v>
      </c>
      <c r="B926" t="s">
        <v>36</v>
      </c>
      <c r="C926" s="1">
        <v>44503.9375</v>
      </c>
      <c r="D926" s="1"/>
      <c r="E926" s="17">
        <f ca="1">IF(Tablo2[[#This Row],[Başlangıç]]="","",(IF(Tablo2[[#This Row],[Bitiş]]="",($G$1-Tablo2[[#This Row],[Başlangıç]])*24,(Tablo2[[#This Row],[Bitiş]]-Tablo2[[#This Row],[Başlangıç]])*24)))</f>
        <v>4129.5</v>
      </c>
    </row>
    <row r="927" spans="1:5" x14ac:dyDescent="0.3">
      <c r="A927">
        <v>357</v>
      </c>
      <c r="B927" t="s">
        <v>84</v>
      </c>
      <c r="C927" s="1">
        <v>44504.958333333336</v>
      </c>
      <c r="D927" s="1">
        <v>44507.322916666664</v>
      </c>
      <c r="E927" s="17">
        <f>IF(Tablo2[[#This Row],[Başlangıç]]="","",(IF(Tablo2[[#This Row],[Bitiş]]="",($G$1-Tablo2[[#This Row],[Başlangıç]])*24,(Tablo2[[#This Row],[Bitiş]]-Tablo2[[#This Row],[Başlangıç]])*24)))</f>
        <v>56.749999999883585</v>
      </c>
    </row>
    <row r="928" spans="1:5" x14ac:dyDescent="0.3">
      <c r="A928">
        <v>357</v>
      </c>
      <c r="B928" t="s">
        <v>179</v>
      </c>
      <c r="C928" s="1">
        <v>44503.9375</v>
      </c>
      <c r="D928" s="1">
        <v>44503.958333333336</v>
      </c>
      <c r="E9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29" spans="1:5" x14ac:dyDescent="0.3">
      <c r="A929">
        <v>357</v>
      </c>
      <c r="B929" t="s">
        <v>68</v>
      </c>
      <c r="C929" s="1">
        <v>44510.754166666666</v>
      </c>
      <c r="D929" s="1">
        <v>44511.564583333333</v>
      </c>
      <c r="E929" s="17">
        <f>IF(Tablo2[[#This Row],[Başlangıç]]="","",(IF(Tablo2[[#This Row],[Bitiş]]="",($G$1-Tablo2[[#This Row],[Başlangıç]])*24,(Tablo2[[#This Row],[Bitiş]]-Tablo2[[#This Row],[Başlangıç]])*24)))</f>
        <v>19.450000000011642</v>
      </c>
    </row>
    <row r="930" spans="1:5" x14ac:dyDescent="0.3">
      <c r="A930">
        <v>357</v>
      </c>
      <c r="B930" t="s">
        <v>37</v>
      </c>
      <c r="C930" s="1">
        <v>44504.340277777781</v>
      </c>
      <c r="D930" s="1">
        <v>44506.833333333336</v>
      </c>
      <c r="E930" s="17">
        <f>IF(Tablo2[[#This Row],[Başlangıç]]="","",(IF(Tablo2[[#This Row],[Bitiş]]="",($G$1-Tablo2[[#This Row],[Başlangıç]])*24,(Tablo2[[#This Row],[Bitiş]]-Tablo2[[#This Row],[Başlangıç]])*24)))</f>
        <v>59.833333333313931</v>
      </c>
    </row>
    <row r="931" spans="1:5" x14ac:dyDescent="0.3">
      <c r="A931">
        <v>357</v>
      </c>
      <c r="B931" t="s">
        <v>65</v>
      </c>
      <c r="C931" s="1"/>
      <c r="D931" s="1"/>
      <c r="E931" s="17" t="str">
        <f>IF(Tablo2[[#This Row],[Başlangıç]]="","",(IF(Tablo2[[#This Row],[Bitiş]]="",($G$1-Tablo2[[#This Row],[Başlangıç]])*24,(Tablo2[[#This Row],[Bitiş]]-Tablo2[[#This Row],[Başlangıç]])*24)))</f>
        <v/>
      </c>
    </row>
    <row r="932" spans="1:5" x14ac:dyDescent="0.3">
      <c r="A932">
        <v>358</v>
      </c>
      <c r="B932" t="s">
        <v>36</v>
      </c>
      <c r="C932" s="1">
        <v>44504.260416666664</v>
      </c>
      <c r="D932" s="1">
        <v>44504.651388888888</v>
      </c>
      <c r="E932" s="17">
        <f>IF(Tablo2[[#This Row],[Başlangıç]]="","",(IF(Tablo2[[#This Row],[Bitiş]]="",($G$1-Tablo2[[#This Row],[Başlangıç]])*24,(Tablo2[[#This Row],[Bitiş]]-Tablo2[[#This Row],[Başlangıç]])*24)))</f>
        <v>9.3833333333604969</v>
      </c>
    </row>
    <row r="933" spans="1:5" x14ac:dyDescent="0.3">
      <c r="A933">
        <v>358</v>
      </c>
      <c r="B933" t="s">
        <v>84</v>
      </c>
      <c r="C933" s="1"/>
      <c r="D933" s="1"/>
      <c r="E933" s="17" t="str">
        <f>IF(Tablo2[[#This Row],[Başlangıç]]="","",(IF(Tablo2[[#This Row],[Bitiş]]="",($G$1-Tablo2[[#This Row],[Başlangıç]])*24,(Tablo2[[#This Row],[Bitiş]]-Tablo2[[#This Row],[Başlangıç]])*24)))</f>
        <v/>
      </c>
    </row>
    <row r="934" spans="1:5" x14ac:dyDescent="0.3">
      <c r="A934">
        <v>358</v>
      </c>
      <c r="B934" t="s">
        <v>179</v>
      </c>
      <c r="C934" s="1">
        <v>44504.260416666664</v>
      </c>
      <c r="D934" s="1">
        <v>44504.28125</v>
      </c>
      <c r="E9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35" spans="1:5" x14ac:dyDescent="0.3">
      <c r="A935">
        <v>358</v>
      </c>
      <c r="B935" t="s">
        <v>68</v>
      </c>
      <c r="C935" s="1">
        <v>44510.5</v>
      </c>
      <c r="D935" s="1">
        <v>44510.881249999999</v>
      </c>
      <c r="E935" s="17">
        <f>IF(Tablo2[[#This Row],[Başlangıç]]="","",(IF(Tablo2[[#This Row],[Bitiş]]="",($G$1-Tablo2[[#This Row],[Başlangıç]])*24,(Tablo2[[#This Row],[Bitiş]]-Tablo2[[#This Row],[Başlangıç]])*24)))</f>
        <v>9.1499999999650754</v>
      </c>
    </row>
    <row r="936" spans="1:5" x14ac:dyDescent="0.3">
      <c r="A936">
        <v>358</v>
      </c>
      <c r="B936" t="s">
        <v>37</v>
      </c>
      <c r="C936" s="1">
        <v>44504.760416666664</v>
      </c>
      <c r="D936" s="1">
        <v>44508.823611111111</v>
      </c>
      <c r="E936" s="17">
        <f>IF(Tablo2[[#This Row],[Başlangıç]]="","",(IF(Tablo2[[#This Row],[Bitiş]]="",($G$1-Tablo2[[#This Row],[Başlangıç]])*24,(Tablo2[[#This Row],[Bitiş]]-Tablo2[[#This Row],[Başlangıç]])*24)))</f>
        <v>97.516666666720994</v>
      </c>
    </row>
    <row r="937" spans="1:5" x14ac:dyDescent="0.3">
      <c r="A937">
        <v>358</v>
      </c>
      <c r="B937" t="s">
        <v>65</v>
      </c>
      <c r="C937" s="1"/>
      <c r="D937" s="1"/>
      <c r="E937" s="17" t="str">
        <f>IF(Tablo2[[#This Row],[Başlangıç]]="","",(IF(Tablo2[[#This Row],[Bitiş]]="",($G$1-Tablo2[[#This Row],[Başlangıç]])*24,(Tablo2[[#This Row],[Bitiş]]-Tablo2[[#This Row],[Başlangıç]])*24)))</f>
        <v/>
      </c>
    </row>
    <row r="938" spans="1:5" x14ac:dyDescent="0.3">
      <c r="A938">
        <v>359</v>
      </c>
      <c r="B938" t="s">
        <v>36</v>
      </c>
      <c r="C938" s="1">
        <v>44504.59652777778</v>
      </c>
      <c r="D938" s="1">
        <v>44504.861111111109</v>
      </c>
      <c r="E938" s="17">
        <f>IF(Tablo2[[#This Row],[Başlangıç]]="","",(IF(Tablo2[[#This Row],[Bitiş]]="",($G$1-Tablo2[[#This Row],[Başlangıç]])*24,(Tablo2[[#This Row],[Bitiş]]-Tablo2[[#This Row],[Başlangıç]])*24)))</f>
        <v>6.3499999999185093</v>
      </c>
    </row>
    <row r="939" spans="1:5" x14ac:dyDescent="0.3">
      <c r="A939">
        <v>359</v>
      </c>
      <c r="B939" t="s">
        <v>84</v>
      </c>
      <c r="C939" s="1"/>
      <c r="D939" s="1"/>
      <c r="E939" s="17" t="str">
        <f>IF(Tablo2[[#This Row],[Başlangıç]]="","",(IF(Tablo2[[#This Row],[Bitiş]]="",($G$1-Tablo2[[#This Row],[Başlangıç]])*24,(Tablo2[[#This Row],[Bitiş]]-Tablo2[[#This Row],[Başlangıç]])*24)))</f>
        <v/>
      </c>
    </row>
    <row r="940" spans="1:5" x14ac:dyDescent="0.3">
      <c r="A940">
        <v>359</v>
      </c>
      <c r="B940" t="s">
        <v>179</v>
      </c>
      <c r="C940" s="1">
        <v>44504.59652777778</v>
      </c>
      <c r="D940" s="1">
        <v>44504.617361111108</v>
      </c>
      <c r="E94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41" spans="1:5" x14ac:dyDescent="0.3">
      <c r="A941">
        <v>359</v>
      </c>
      <c r="B941" t="s">
        <v>68</v>
      </c>
      <c r="C941" s="1">
        <v>44507.354166666664</v>
      </c>
      <c r="D941" s="1">
        <v>44507.444444444445</v>
      </c>
      <c r="E941" s="17">
        <f>IF(Tablo2[[#This Row],[Başlangıç]]="","",(IF(Tablo2[[#This Row],[Bitiş]]="",($G$1-Tablo2[[#This Row],[Başlangıç]])*24,(Tablo2[[#This Row],[Bitiş]]-Tablo2[[#This Row],[Başlangıç]])*24)))</f>
        <v>2.1666666667442769</v>
      </c>
    </row>
    <row r="942" spans="1:5" x14ac:dyDescent="0.3">
      <c r="A942">
        <v>359</v>
      </c>
      <c r="B942" t="s">
        <v>37</v>
      </c>
      <c r="C942" s="1">
        <v>44505.052083333336</v>
      </c>
      <c r="D942" s="1">
        <v>44506.922222222223</v>
      </c>
      <c r="E942" s="17">
        <f>IF(Tablo2[[#This Row],[Başlangıç]]="","",(IF(Tablo2[[#This Row],[Bitiş]]="",($G$1-Tablo2[[#This Row],[Başlangıç]])*24,(Tablo2[[#This Row],[Bitiş]]-Tablo2[[#This Row],[Başlangıç]])*24)))</f>
        <v>44.883333333302289</v>
      </c>
    </row>
    <row r="943" spans="1:5" x14ac:dyDescent="0.3">
      <c r="A943">
        <v>359</v>
      </c>
      <c r="B943" t="s">
        <v>65</v>
      </c>
      <c r="C943" s="1">
        <v>44513.708333333336</v>
      </c>
      <c r="D943" s="1">
        <v>44513.739583333336</v>
      </c>
      <c r="E943" s="17">
        <f>IF(Tablo2[[#This Row],[Başlangıç]]="","",(IF(Tablo2[[#This Row],[Bitiş]]="",($G$1-Tablo2[[#This Row],[Başlangıç]])*24,(Tablo2[[#This Row],[Bitiş]]-Tablo2[[#This Row],[Başlangıç]])*24)))</f>
        <v>0.75</v>
      </c>
    </row>
    <row r="944" spans="1:5" x14ac:dyDescent="0.3">
      <c r="A944">
        <v>360</v>
      </c>
      <c r="B944" t="s">
        <v>36</v>
      </c>
      <c r="C944" s="1">
        <v>44504.895833333336</v>
      </c>
      <c r="D944" s="1">
        <v>44514.638888888891</v>
      </c>
      <c r="E944" s="17">
        <f>IF(Tablo2[[#This Row],[Başlangıç]]="","",(IF(Tablo2[[#This Row],[Bitiş]]="",($G$1-Tablo2[[#This Row],[Başlangıç]])*24,(Tablo2[[#This Row],[Bitiş]]-Tablo2[[#This Row],[Başlangıç]])*24)))</f>
        <v>233.83333333331393</v>
      </c>
    </row>
    <row r="945" spans="1:5" x14ac:dyDescent="0.3">
      <c r="A945">
        <v>360</v>
      </c>
      <c r="B945" t="s">
        <v>84</v>
      </c>
      <c r="C945" s="1">
        <v>44514.4375</v>
      </c>
      <c r="D945" s="1">
        <v>44514.645833333336</v>
      </c>
      <c r="E945" s="17">
        <f>IF(Tablo2[[#This Row],[Başlangıç]]="","",(IF(Tablo2[[#This Row],[Bitiş]]="",($G$1-Tablo2[[#This Row],[Başlangıç]])*24,(Tablo2[[#This Row],[Bitiş]]-Tablo2[[#This Row],[Başlangıç]])*24)))</f>
        <v>5.0000000000582077</v>
      </c>
    </row>
    <row r="946" spans="1:5" x14ac:dyDescent="0.3">
      <c r="A946">
        <v>360</v>
      </c>
      <c r="B946" t="s">
        <v>179</v>
      </c>
      <c r="C946" s="1">
        <v>44504.895833333336</v>
      </c>
      <c r="D946" s="1">
        <v>44504.916666666664</v>
      </c>
      <c r="E9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47" spans="1:5" x14ac:dyDescent="0.3">
      <c r="A947">
        <v>360</v>
      </c>
      <c r="B947" t="s">
        <v>68</v>
      </c>
      <c r="C947" s="1">
        <v>44514.625</v>
      </c>
      <c r="D947" s="1">
        <v>44515.208333333336</v>
      </c>
      <c r="E947" s="17">
        <f>IF(Tablo2[[#This Row],[Başlangıç]]="","",(IF(Tablo2[[#This Row],[Bitiş]]="",($G$1-Tablo2[[#This Row],[Başlangıç]])*24,(Tablo2[[#This Row],[Bitiş]]-Tablo2[[#This Row],[Başlangıç]])*24)))</f>
        <v>14.000000000058208</v>
      </c>
    </row>
    <row r="948" spans="1:5" x14ac:dyDescent="0.3">
      <c r="A948">
        <v>360</v>
      </c>
      <c r="B948" t="s">
        <v>37</v>
      </c>
      <c r="C948" s="1">
        <v>44505.517361111109</v>
      </c>
      <c r="D948" s="1">
        <v>44513.5</v>
      </c>
      <c r="E948" s="17">
        <f>IF(Tablo2[[#This Row],[Başlangıç]]="","",(IF(Tablo2[[#This Row],[Bitiş]]="",($G$1-Tablo2[[#This Row],[Başlangıç]])*24,(Tablo2[[#This Row],[Bitiş]]-Tablo2[[#This Row],[Başlangıç]])*24)))</f>
        <v>191.58333333337214</v>
      </c>
    </row>
    <row r="949" spans="1:5" x14ac:dyDescent="0.3">
      <c r="A949">
        <v>360</v>
      </c>
      <c r="B949" t="s">
        <v>65</v>
      </c>
      <c r="C949" s="1">
        <v>44513.673611111109</v>
      </c>
      <c r="D949" s="1">
        <v>44513.816666666666</v>
      </c>
      <c r="E949" s="17">
        <f>IF(Tablo2[[#This Row],[Başlangıç]]="","",(IF(Tablo2[[#This Row],[Bitiş]]="",($G$1-Tablo2[[#This Row],[Başlangıç]])*24,(Tablo2[[#This Row],[Bitiş]]-Tablo2[[#This Row],[Başlangıç]])*24)))</f>
        <v>3.4333333333488554</v>
      </c>
    </row>
    <row r="950" spans="1:5" x14ac:dyDescent="0.3">
      <c r="A950">
        <v>361</v>
      </c>
      <c r="B950" t="s">
        <v>36</v>
      </c>
      <c r="C950" s="1">
        <v>44505.763888888891</v>
      </c>
      <c r="D950" s="1">
        <v>44506.423611111109</v>
      </c>
      <c r="E950" s="17">
        <f>IF(Tablo2[[#This Row],[Başlangıç]]="","",(IF(Tablo2[[#This Row],[Bitiş]]="",($G$1-Tablo2[[#This Row],[Başlangıç]])*24,(Tablo2[[#This Row],[Bitiş]]-Tablo2[[#This Row],[Başlangıç]])*24)))</f>
        <v>15.833333333255723</v>
      </c>
    </row>
    <row r="951" spans="1:5" x14ac:dyDescent="0.3">
      <c r="A951">
        <v>361</v>
      </c>
      <c r="B951" t="s">
        <v>84</v>
      </c>
      <c r="C951" s="1">
        <v>44508.173611111109</v>
      </c>
      <c r="D951" s="1">
        <v>44508.229166666664</v>
      </c>
      <c r="E951" s="17">
        <f>IF(Tablo2[[#This Row],[Başlangıç]]="","",(IF(Tablo2[[#This Row],[Bitiş]]="",($G$1-Tablo2[[#This Row],[Başlangıç]])*24,(Tablo2[[#This Row],[Bitiş]]-Tablo2[[#This Row],[Başlangıç]])*24)))</f>
        <v>1.3333333333139308</v>
      </c>
    </row>
    <row r="952" spans="1:5" x14ac:dyDescent="0.3">
      <c r="A952">
        <v>361</v>
      </c>
      <c r="B952" t="s">
        <v>179</v>
      </c>
      <c r="C952" s="1">
        <v>44505.763888888891</v>
      </c>
      <c r="D952" s="1">
        <v>44505.784722222219</v>
      </c>
      <c r="E95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53" spans="1:5" x14ac:dyDescent="0.3">
      <c r="A953">
        <v>361</v>
      </c>
      <c r="B953" t="s">
        <v>68</v>
      </c>
      <c r="C953" s="1">
        <v>44509.520833333336</v>
      </c>
      <c r="D953" s="1">
        <v>44513.255555555559</v>
      </c>
      <c r="E953" s="17">
        <f>IF(Tablo2[[#This Row],[Başlangıç]]="","",(IF(Tablo2[[#This Row],[Bitiş]]="",($G$1-Tablo2[[#This Row],[Başlangıç]])*24,(Tablo2[[#This Row],[Bitiş]]-Tablo2[[#This Row],[Başlangıç]])*24)))</f>
        <v>89.633333333360497</v>
      </c>
    </row>
    <row r="954" spans="1:5" x14ac:dyDescent="0.3">
      <c r="A954">
        <v>361</v>
      </c>
      <c r="B954" t="s">
        <v>37</v>
      </c>
      <c r="C954" s="1">
        <v>44506.041666666664</v>
      </c>
      <c r="D954" s="1">
        <v>44507.790972222225</v>
      </c>
      <c r="E954" s="17">
        <f>IF(Tablo2[[#This Row],[Başlangıç]]="","",(IF(Tablo2[[#This Row],[Bitiş]]="",($G$1-Tablo2[[#This Row],[Başlangıç]])*24,(Tablo2[[#This Row],[Bitiş]]-Tablo2[[#This Row],[Başlangıç]])*24)))</f>
        <v>41.983333333453629</v>
      </c>
    </row>
    <row r="955" spans="1:5" x14ac:dyDescent="0.3">
      <c r="A955">
        <v>361</v>
      </c>
      <c r="B955" t="s">
        <v>65</v>
      </c>
      <c r="C955" s="1"/>
      <c r="D955" s="1"/>
      <c r="E955" s="17" t="str">
        <f>IF(Tablo2[[#This Row],[Başlangıç]]="","",(IF(Tablo2[[#This Row],[Bitiş]]="",($G$1-Tablo2[[#This Row],[Başlangıç]])*24,(Tablo2[[#This Row],[Bitiş]]-Tablo2[[#This Row],[Başlangıç]])*24)))</f>
        <v/>
      </c>
    </row>
    <row r="956" spans="1:5" x14ac:dyDescent="0.3">
      <c r="A956">
        <v>362</v>
      </c>
      <c r="B956" t="s">
        <v>36</v>
      </c>
      <c r="C956" s="1">
        <v>44506.340277777781</v>
      </c>
      <c r="D956" s="1">
        <v>44506.583333333336</v>
      </c>
      <c r="E956" s="17">
        <f>IF(Tablo2[[#This Row],[Başlangıç]]="","",(IF(Tablo2[[#This Row],[Bitiş]]="",($G$1-Tablo2[[#This Row],[Başlangıç]])*24,(Tablo2[[#This Row],[Bitiş]]-Tablo2[[#This Row],[Başlangıç]])*24)))</f>
        <v>5.8333333333139308</v>
      </c>
    </row>
    <row r="957" spans="1:5" x14ac:dyDescent="0.3">
      <c r="A957">
        <v>362</v>
      </c>
      <c r="B957" t="s">
        <v>84</v>
      </c>
      <c r="C957" s="1">
        <v>44508.3125</v>
      </c>
      <c r="D957" s="1">
        <v>44508.375</v>
      </c>
      <c r="E957" s="17">
        <f>IF(Tablo2[[#This Row],[Başlangıç]]="","",(IF(Tablo2[[#This Row],[Bitiş]]="",($G$1-Tablo2[[#This Row],[Başlangıç]])*24,(Tablo2[[#This Row],[Bitiş]]-Tablo2[[#This Row],[Başlangıç]])*24)))</f>
        <v>1.5</v>
      </c>
    </row>
    <row r="958" spans="1:5" x14ac:dyDescent="0.3">
      <c r="A958">
        <v>362</v>
      </c>
      <c r="B958" t="s">
        <v>179</v>
      </c>
      <c r="C958" s="1">
        <v>44507.056944444441</v>
      </c>
      <c r="D958" s="1">
        <v>44507.077777777777</v>
      </c>
      <c r="E95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59" spans="1:5" x14ac:dyDescent="0.3">
      <c r="A959">
        <v>362</v>
      </c>
      <c r="B959" t="s">
        <v>68</v>
      </c>
      <c r="C959" s="1">
        <v>44509.375</v>
      </c>
      <c r="D959" s="1">
        <v>44509.916666666664</v>
      </c>
      <c r="E959" s="17">
        <f>IF(Tablo2[[#This Row],[Başlangıç]]="","",(IF(Tablo2[[#This Row],[Bitiş]]="",($G$1-Tablo2[[#This Row],[Başlangıç]])*24,(Tablo2[[#This Row],[Bitiş]]-Tablo2[[#This Row],[Başlangıç]])*24)))</f>
        <v>12.999999999941792</v>
      </c>
    </row>
    <row r="960" spans="1:5" x14ac:dyDescent="0.3">
      <c r="A960">
        <v>362</v>
      </c>
      <c r="B960" t="s">
        <v>37</v>
      </c>
      <c r="C960" s="1">
        <v>44142.083333333336</v>
      </c>
      <c r="D960" s="1">
        <v>44509.25</v>
      </c>
      <c r="E960" s="17">
        <f>IF(Tablo2[[#This Row],[Başlangıç]]="","",(IF(Tablo2[[#This Row],[Bitiş]]="",($G$1-Tablo2[[#This Row],[Başlangıç]])*24,(Tablo2[[#This Row],[Bitiş]]-Tablo2[[#This Row],[Başlangıç]])*24)))</f>
        <v>8811.9999999999418</v>
      </c>
    </row>
    <row r="961" spans="1:5" x14ac:dyDescent="0.3">
      <c r="A961">
        <v>362</v>
      </c>
      <c r="B961" t="s">
        <v>65</v>
      </c>
      <c r="C961" s="1">
        <v>44506.916666666664</v>
      </c>
      <c r="D961" s="1">
        <v>44507.302083333336</v>
      </c>
      <c r="E961" s="17">
        <f>IF(Tablo2[[#This Row],[Başlangıç]]="","",(IF(Tablo2[[#This Row],[Bitiş]]="",($G$1-Tablo2[[#This Row],[Başlangıç]])*24,(Tablo2[[#This Row],[Bitiş]]-Tablo2[[#This Row],[Başlangıç]])*24)))</f>
        <v>9.2500000001164153</v>
      </c>
    </row>
    <row r="962" spans="1:5" x14ac:dyDescent="0.3">
      <c r="A962">
        <v>363</v>
      </c>
      <c r="B962" t="s">
        <v>36</v>
      </c>
      <c r="C962" s="1">
        <v>44506.166666666664</v>
      </c>
      <c r="D962" s="1">
        <v>44506.819444444445</v>
      </c>
      <c r="E962" s="17">
        <f>IF(Tablo2[[#This Row],[Başlangıç]]="","",(IF(Tablo2[[#This Row],[Bitiş]]="",($G$1-Tablo2[[#This Row],[Başlangıç]])*24,(Tablo2[[#This Row],[Bitiş]]-Tablo2[[#This Row],[Başlangıç]])*24)))</f>
        <v>15.666666666744277</v>
      </c>
    </row>
    <row r="963" spans="1:5" x14ac:dyDescent="0.3">
      <c r="A963">
        <v>363</v>
      </c>
      <c r="B963" t="s">
        <v>84</v>
      </c>
      <c r="C963" s="1"/>
      <c r="D963" s="1"/>
      <c r="E963" s="17" t="str">
        <f>IF(Tablo2[[#This Row],[Başlangıç]]="","",(IF(Tablo2[[#This Row],[Bitiş]]="",($G$1-Tablo2[[#This Row],[Başlangıç]])*24,(Tablo2[[#This Row],[Bitiş]]-Tablo2[[#This Row],[Başlangıç]])*24)))</f>
        <v/>
      </c>
    </row>
    <row r="964" spans="1:5" x14ac:dyDescent="0.3">
      <c r="A964">
        <v>363</v>
      </c>
      <c r="B964" t="s">
        <v>179</v>
      </c>
      <c r="C964" s="1">
        <v>44506.166666666664</v>
      </c>
      <c r="D964" s="1">
        <v>44506.1875</v>
      </c>
      <c r="E9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65" spans="1:5" x14ac:dyDescent="0.3">
      <c r="A965">
        <v>363</v>
      </c>
      <c r="B965" t="s">
        <v>68</v>
      </c>
      <c r="C965" s="1">
        <v>44509.354166666664</v>
      </c>
      <c r="D965" s="1">
        <v>44511.875</v>
      </c>
      <c r="E965" s="17">
        <f>IF(Tablo2[[#This Row],[Başlangıç]]="","",(IF(Tablo2[[#This Row],[Bitiş]]="",($G$1-Tablo2[[#This Row],[Başlangıç]])*24,(Tablo2[[#This Row],[Bitiş]]-Tablo2[[#This Row],[Başlangıç]])*24)))</f>
        <v>60.500000000058208</v>
      </c>
    </row>
    <row r="966" spans="1:5" x14ac:dyDescent="0.3">
      <c r="A966">
        <v>363</v>
      </c>
      <c r="B966" t="s">
        <v>37</v>
      </c>
      <c r="C966" s="1">
        <v>44507.354166666664</v>
      </c>
      <c r="D966" s="1">
        <v>44510.701388888891</v>
      </c>
      <c r="E966" s="17">
        <f>IF(Tablo2[[#This Row],[Başlangıç]]="","",(IF(Tablo2[[#This Row],[Bitiş]]="",($G$1-Tablo2[[#This Row],[Başlangıç]])*24,(Tablo2[[#This Row],[Bitiş]]-Tablo2[[#This Row],[Başlangıç]])*24)))</f>
        <v>80.333333333430346</v>
      </c>
    </row>
    <row r="967" spans="1:5" x14ac:dyDescent="0.3">
      <c r="A967">
        <v>363</v>
      </c>
      <c r="B967" t="s">
        <v>65</v>
      </c>
      <c r="C967" s="1"/>
      <c r="D967" s="1"/>
      <c r="E967" s="17" t="str">
        <f>IF(Tablo2[[#This Row],[Başlangıç]]="","",(IF(Tablo2[[#This Row],[Bitiş]]="",($G$1-Tablo2[[#This Row],[Başlangıç]])*24,(Tablo2[[#This Row],[Bitiş]]-Tablo2[[#This Row],[Başlangıç]])*24)))</f>
        <v/>
      </c>
    </row>
    <row r="968" spans="1:5" x14ac:dyDescent="0.3">
      <c r="A968">
        <v>364</v>
      </c>
      <c r="B968" t="s">
        <v>36</v>
      </c>
      <c r="C968" s="1">
        <v>44507.427083333336</v>
      </c>
      <c r="D968" s="1">
        <v>44507.631944444445</v>
      </c>
      <c r="E968" s="17">
        <f>IF(Tablo2[[#This Row],[Başlangıç]]="","",(IF(Tablo2[[#This Row],[Bitiş]]="",($G$1-Tablo2[[#This Row],[Başlangıç]])*24,(Tablo2[[#This Row],[Bitiş]]-Tablo2[[#This Row],[Başlangıç]])*24)))</f>
        <v>4.9166666666278616</v>
      </c>
    </row>
    <row r="969" spans="1:5" x14ac:dyDescent="0.3">
      <c r="A969">
        <v>364</v>
      </c>
      <c r="B969" t="s">
        <v>84</v>
      </c>
      <c r="C969" s="1"/>
      <c r="D969" s="1"/>
      <c r="E969" s="17" t="str">
        <f>IF(Tablo2[[#This Row],[Başlangıç]]="","",(IF(Tablo2[[#This Row],[Bitiş]]="",($G$1-Tablo2[[#This Row],[Başlangıç]])*24,(Tablo2[[#This Row],[Bitiş]]-Tablo2[[#This Row],[Başlangıç]])*24)))</f>
        <v/>
      </c>
    </row>
    <row r="970" spans="1:5" x14ac:dyDescent="0.3">
      <c r="A970">
        <v>364</v>
      </c>
      <c r="B970" t="s">
        <v>179</v>
      </c>
      <c r="C970" s="1">
        <v>44508.041666666664</v>
      </c>
      <c r="D970" s="1">
        <v>44508.0625</v>
      </c>
      <c r="E97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71" spans="1:5" x14ac:dyDescent="0.3">
      <c r="A971">
        <v>364</v>
      </c>
      <c r="B971" t="s">
        <v>68</v>
      </c>
      <c r="C971" s="1">
        <v>44512.618055555555</v>
      </c>
      <c r="D971" s="1">
        <v>44512.659722222219</v>
      </c>
      <c r="E971" s="17">
        <f>IF(Tablo2[[#This Row],[Başlangıç]]="","",(IF(Tablo2[[#This Row],[Bitiş]]="",($G$1-Tablo2[[#This Row],[Başlangıç]])*24,(Tablo2[[#This Row],[Bitiş]]-Tablo2[[#This Row],[Başlangıç]])*24)))</f>
        <v>0.99999999994179234</v>
      </c>
    </row>
    <row r="972" spans="1:5" x14ac:dyDescent="0.3">
      <c r="A972">
        <v>364</v>
      </c>
      <c r="B972" t="s">
        <v>37</v>
      </c>
      <c r="C972" s="1">
        <v>44507.756944444445</v>
      </c>
      <c r="D972" s="1">
        <v>44512.145833333336</v>
      </c>
      <c r="E972" s="17">
        <f>IF(Tablo2[[#This Row],[Başlangıç]]="","",(IF(Tablo2[[#This Row],[Bitiş]]="",($G$1-Tablo2[[#This Row],[Başlangıç]])*24,(Tablo2[[#This Row],[Bitiş]]-Tablo2[[#This Row],[Başlangıç]])*24)))</f>
        <v>105.33333333337214</v>
      </c>
    </row>
    <row r="973" spans="1:5" x14ac:dyDescent="0.3">
      <c r="A973">
        <v>364</v>
      </c>
      <c r="B973" t="s">
        <v>65</v>
      </c>
      <c r="C973" s="1"/>
      <c r="D973" s="1"/>
      <c r="E973" s="17" t="str">
        <f>IF(Tablo2[[#This Row],[Başlangıç]]="","",(IF(Tablo2[[#This Row],[Bitiş]]="",($G$1-Tablo2[[#This Row],[Başlangıç]])*24,(Tablo2[[#This Row],[Bitiş]]-Tablo2[[#This Row],[Başlangıç]])*24)))</f>
        <v/>
      </c>
    </row>
    <row r="974" spans="1:5" x14ac:dyDescent="0.3">
      <c r="A974">
        <v>365</v>
      </c>
      <c r="B974" t="s">
        <v>36</v>
      </c>
      <c r="C974" s="1">
        <v>44507.416666666664</v>
      </c>
      <c r="D974" s="1">
        <v>44508.166666666664</v>
      </c>
      <c r="E974" s="17">
        <f>IF(Tablo2[[#This Row],[Başlangıç]]="","",(IF(Tablo2[[#This Row],[Bitiş]]="",($G$1-Tablo2[[#This Row],[Başlangıç]])*24,(Tablo2[[#This Row],[Bitiş]]-Tablo2[[#This Row],[Başlangıç]])*24)))</f>
        <v>18</v>
      </c>
    </row>
    <row r="975" spans="1:5" x14ac:dyDescent="0.3">
      <c r="A975">
        <v>365</v>
      </c>
      <c r="B975" t="s">
        <v>84</v>
      </c>
      <c r="C975" s="1">
        <v>44510.916666666664</v>
      </c>
      <c r="D975" s="1">
        <v>44510.958333333336</v>
      </c>
      <c r="E975" s="17">
        <f>IF(Tablo2[[#This Row],[Başlangıç]]="","",(IF(Tablo2[[#This Row],[Bitiş]]="",($G$1-Tablo2[[#This Row],[Başlangıç]])*24,(Tablo2[[#This Row],[Bitiş]]-Tablo2[[#This Row],[Başlangıç]])*24)))</f>
        <v>1.0000000001164153</v>
      </c>
    </row>
    <row r="976" spans="1:5" x14ac:dyDescent="0.3">
      <c r="A976">
        <v>365</v>
      </c>
      <c r="B976" t="s">
        <v>179</v>
      </c>
      <c r="C976" s="1">
        <v>44507.875</v>
      </c>
      <c r="D976" s="1">
        <v>44507.895833333336</v>
      </c>
      <c r="E97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77" spans="1:5" x14ac:dyDescent="0.3">
      <c r="A977">
        <v>365</v>
      </c>
      <c r="B977" t="s">
        <v>68</v>
      </c>
      <c r="C977" s="1">
        <v>44511.472222222219</v>
      </c>
      <c r="D977" s="1">
        <v>44512.50277777778</v>
      </c>
      <c r="E977" s="17">
        <f>IF(Tablo2[[#This Row],[Başlangıç]]="","",(IF(Tablo2[[#This Row],[Bitiş]]="",($G$1-Tablo2[[#This Row],[Başlangıç]])*24,(Tablo2[[#This Row],[Bitiş]]-Tablo2[[#This Row],[Başlangıç]])*24)))</f>
        <v>24.733333333453629</v>
      </c>
    </row>
    <row r="978" spans="1:5" x14ac:dyDescent="0.3">
      <c r="A978">
        <v>365</v>
      </c>
      <c r="B978" t="s">
        <v>37</v>
      </c>
      <c r="C978" s="1">
        <v>44508.208333333336</v>
      </c>
      <c r="D978" s="1">
        <v>44509.725694444445</v>
      </c>
      <c r="E978" s="17">
        <f>IF(Tablo2[[#This Row],[Başlangıç]]="","",(IF(Tablo2[[#This Row],[Bitiş]]="",($G$1-Tablo2[[#This Row],[Başlangıç]])*24,(Tablo2[[#This Row],[Bitiş]]-Tablo2[[#This Row],[Başlangıç]])*24)))</f>
        <v>36.416666666627862</v>
      </c>
    </row>
    <row r="979" spans="1:5" x14ac:dyDescent="0.3">
      <c r="A979">
        <v>365</v>
      </c>
      <c r="B979" t="s">
        <v>65</v>
      </c>
      <c r="C979" s="1"/>
      <c r="D979" s="1"/>
      <c r="E979" s="17" t="str">
        <f>IF(Tablo2[[#This Row],[Başlangıç]]="","",(IF(Tablo2[[#This Row],[Bitiş]]="",($G$1-Tablo2[[#This Row],[Başlangıç]])*24,(Tablo2[[#This Row],[Bitiş]]-Tablo2[[#This Row],[Başlangıç]])*24)))</f>
        <v/>
      </c>
    </row>
    <row r="980" spans="1:5" x14ac:dyDescent="0.3">
      <c r="A980">
        <v>366</v>
      </c>
      <c r="B980" t="s">
        <v>36</v>
      </c>
      <c r="C980" s="1">
        <v>44508.020833333336</v>
      </c>
      <c r="D980" s="1">
        <v>44510.003472222219</v>
      </c>
      <c r="E980" s="17">
        <f>IF(Tablo2[[#This Row],[Başlangıç]]="","",(IF(Tablo2[[#This Row],[Bitiş]]="",($G$1-Tablo2[[#This Row],[Başlangıç]])*24,(Tablo2[[#This Row],[Bitiş]]-Tablo2[[#This Row],[Başlangıç]])*24)))</f>
        <v>47.583333333197515</v>
      </c>
    </row>
    <row r="981" spans="1:5" x14ac:dyDescent="0.3">
      <c r="A981">
        <v>366</v>
      </c>
      <c r="B981" t="s">
        <v>84</v>
      </c>
      <c r="C981" s="1">
        <v>44511</v>
      </c>
      <c r="D981" s="1">
        <v>44511.28125</v>
      </c>
      <c r="E981" s="17">
        <f>IF(Tablo2[[#This Row],[Başlangıç]]="","",(IF(Tablo2[[#This Row],[Bitiş]]="",($G$1-Tablo2[[#This Row],[Başlangıç]])*24,(Tablo2[[#This Row],[Bitiş]]-Tablo2[[#This Row],[Başlangıç]])*24)))</f>
        <v>6.75</v>
      </c>
    </row>
    <row r="982" spans="1:5" x14ac:dyDescent="0.3">
      <c r="A982">
        <v>366</v>
      </c>
      <c r="B982" t="s">
        <v>179</v>
      </c>
      <c r="C982" s="1">
        <v>44508.024305555555</v>
      </c>
      <c r="D982" s="1">
        <v>44508.045138888891</v>
      </c>
      <c r="E9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83" spans="1:5" x14ac:dyDescent="0.3">
      <c r="A983">
        <v>366</v>
      </c>
      <c r="B983" t="s">
        <v>68</v>
      </c>
      <c r="C983" s="1">
        <v>44510.364583333336</v>
      </c>
      <c r="D983" s="1">
        <v>44511.952777777777</v>
      </c>
      <c r="E983" s="17">
        <f>IF(Tablo2[[#This Row],[Başlangıç]]="","",(IF(Tablo2[[#This Row],[Bitiş]]="",($G$1-Tablo2[[#This Row],[Başlangıç]])*24,(Tablo2[[#This Row],[Bitiş]]-Tablo2[[#This Row],[Başlangıç]])*24)))</f>
        <v>38.116666666581295</v>
      </c>
    </row>
    <row r="984" spans="1:5" x14ac:dyDescent="0.3">
      <c r="A984">
        <v>366</v>
      </c>
      <c r="B984" t="s">
        <v>37</v>
      </c>
      <c r="C984" s="1">
        <v>44508.409722222219</v>
      </c>
      <c r="D984" s="1">
        <v>44510.9375</v>
      </c>
      <c r="E984" s="17">
        <f>IF(Tablo2[[#This Row],[Başlangıç]]="","",(IF(Tablo2[[#This Row],[Bitiş]]="",($G$1-Tablo2[[#This Row],[Başlangıç]])*24,(Tablo2[[#This Row],[Bitiş]]-Tablo2[[#This Row],[Başlangıç]])*24)))</f>
        <v>60.666666666744277</v>
      </c>
    </row>
    <row r="985" spans="1:5" x14ac:dyDescent="0.3">
      <c r="A985">
        <v>366</v>
      </c>
      <c r="B985" t="s">
        <v>65</v>
      </c>
      <c r="C985" s="1">
        <v>44510.666666666664</v>
      </c>
      <c r="D985" s="1">
        <v>44516.666666666664</v>
      </c>
      <c r="E985" s="17">
        <f>IF(Tablo2[[#This Row],[Başlangıç]]="","",(IF(Tablo2[[#This Row],[Bitiş]]="",($G$1-Tablo2[[#This Row],[Başlangıç]])*24,(Tablo2[[#This Row],[Bitiş]]-Tablo2[[#This Row],[Başlangıç]])*24)))</f>
        <v>144</v>
      </c>
    </row>
    <row r="986" spans="1:5" x14ac:dyDescent="0.3">
      <c r="A986">
        <v>367</v>
      </c>
      <c r="B986" t="s">
        <v>36</v>
      </c>
      <c r="C986" s="1">
        <v>44508.645138888889</v>
      </c>
      <c r="D986" s="1">
        <v>44509.111805555556</v>
      </c>
      <c r="E986" s="17">
        <f>IF(Tablo2[[#This Row],[Başlangıç]]="","",(IF(Tablo2[[#This Row],[Bitiş]]="",($G$1-Tablo2[[#This Row],[Başlangıç]])*24,(Tablo2[[#This Row],[Bitiş]]-Tablo2[[#This Row],[Başlangıç]])*24)))</f>
        <v>11.200000000011642</v>
      </c>
    </row>
    <row r="987" spans="1:5" x14ac:dyDescent="0.3">
      <c r="A987">
        <v>367</v>
      </c>
      <c r="B987" t="s">
        <v>84</v>
      </c>
      <c r="C987" s="1">
        <v>44511.909722222219</v>
      </c>
      <c r="D987" s="1">
        <v>44512.145833333336</v>
      </c>
      <c r="E987" s="17">
        <f>IF(Tablo2[[#This Row],[Başlangıç]]="","",(IF(Tablo2[[#This Row],[Bitiş]]="",($G$1-Tablo2[[#This Row],[Başlangıç]])*24,(Tablo2[[#This Row],[Bitiş]]-Tablo2[[#This Row],[Başlangıç]])*24)))</f>
        <v>5.6666666668024845</v>
      </c>
    </row>
    <row r="988" spans="1:5" x14ac:dyDescent="0.3">
      <c r="A988">
        <v>367</v>
      </c>
      <c r="B988" t="s">
        <v>179</v>
      </c>
      <c r="C988" s="1">
        <v>44508.645138888889</v>
      </c>
      <c r="D988" s="1">
        <v>44508.665972222225</v>
      </c>
      <c r="E9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989" spans="1:5" x14ac:dyDescent="0.3">
      <c r="A989">
        <v>367</v>
      </c>
      <c r="B989" t="s">
        <v>68</v>
      </c>
      <c r="C989" s="1">
        <v>44512.395833333336</v>
      </c>
      <c r="D989" s="1">
        <v>44515.118055555555</v>
      </c>
      <c r="E989" s="17">
        <f>IF(Tablo2[[#This Row],[Başlangıç]]="","",(IF(Tablo2[[#This Row],[Bitiş]]="",($G$1-Tablo2[[#This Row],[Başlangıç]])*24,(Tablo2[[#This Row],[Bitiş]]-Tablo2[[#This Row],[Başlangıç]])*24)))</f>
        <v>65.333333333255723</v>
      </c>
    </row>
    <row r="990" spans="1:5" x14ac:dyDescent="0.3">
      <c r="A990">
        <v>367</v>
      </c>
      <c r="B990" t="s">
        <v>37</v>
      </c>
      <c r="C990" s="1">
        <v>44509.291666666664</v>
      </c>
      <c r="D990" s="1">
        <v>44511.416666666664</v>
      </c>
      <c r="E990" s="17">
        <f>IF(Tablo2[[#This Row],[Başlangıç]]="","",(IF(Tablo2[[#This Row],[Bitiş]]="",($G$1-Tablo2[[#This Row],[Başlangıç]])*24,(Tablo2[[#This Row],[Bitiş]]-Tablo2[[#This Row],[Başlangıç]])*24)))</f>
        <v>51</v>
      </c>
    </row>
    <row r="991" spans="1:5" x14ac:dyDescent="0.3">
      <c r="A991">
        <v>367</v>
      </c>
      <c r="B991" t="s">
        <v>65</v>
      </c>
      <c r="C991" s="1"/>
      <c r="D991" s="1"/>
      <c r="E991" s="17" t="str">
        <f>IF(Tablo2[[#This Row],[Başlangıç]]="","",(IF(Tablo2[[#This Row],[Bitiş]]="",($G$1-Tablo2[[#This Row],[Başlangıç]])*24,(Tablo2[[#This Row],[Bitiş]]-Tablo2[[#This Row],[Başlangıç]])*24)))</f>
        <v/>
      </c>
    </row>
    <row r="992" spans="1:5" x14ac:dyDescent="0.3">
      <c r="A992">
        <v>368</v>
      </c>
      <c r="B992" t="s">
        <v>36</v>
      </c>
      <c r="C992" s="1">
        <v>44509.518750000003</v>
      </c>
      <c r="D992" s="1">
        <v>44509.916666666664</v>
      </c>
      <c r="E992" s="17">
        <f>IF(Tablo2[[#This Row],[Başlangıç]]="","",(IF(Tablo2[[#This Row],[Bitiş]]="",($G$1-Tablo2[[#This Row],[Başlangıç]])*24,(Tablo2[[#This Row],[Bitiş]]-Tablo2[[#This Row],[Başlangıç]])*24)))</f>
        <v>9.5499999998719431</v>
      </c>
    </row>
    <row r="993" spans="1:5" x14ac:dyDescent="0.3">
      <c r="A993">
        <v>368</v>
      </c>
      <c r="B993" t="s">
        <v>84</v>
      </c>
      <c r="C993" s="1"/>
      <c r="D993" s="1"/>
      <c r="E993" s="17" t="str">
        <f>IF(Tablo2[[#This Row],[Başlangıç]]="","",(IF(Tablo2[[#This Row],[Bitiş]]="",($G$1-Tablo2[[#This Row],[Başlangıç]])*24,(Tablo2[[#This Row],[Bitiş]]-Tablo2[[#This Row],[Başlangıç]])*24)))</f>
        <v/>
      </c>
    </row>
    <row r="994" spans="1:5" x14ac:dyDescent="0.3">
      <c r="A994">
        <v>368</v>
      </c>
      <c r="B994" t="s">
        <v>179</v>
      </c>
      <c r="C994" s="1">
        <v>44509.518750000003</v>
      </c>
      <c r="D994" s="1">
        <v>44509.539583333331</v>
      </c>
      <c r="E99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995" spans="1:5" x14ac:dyDescent="0.3">
      <c r="A995">
        <v>368</v>
      </c>
      <c r="B995" t="s">
        <v>68</v>
      </c>
      <c r="C995" s="1">
        <v>44513.333333333336</v>
      </c>
      <c r="D995" s="1">
        <v>44513.595833333333</v>
      </c>
      <c r="E995" s="17">
        <f>IF(Tablo2[[#This Row],[Başlangıç]]="","",(IF(Tablo2[[#This Row],[Bitiş]]="",($G$1-Tablo2[[#This Row],[Başlangıç]])*24,(Tablo2[[#This Row],[Bitiş]]-Tablo2[[#This Row],[Başlangıç]])*24)))</f>
        <v>6.2999999999301508</v>
      </c>
    </row>
    <row r="996" spans="1:5" x14ac:dyDescent="0.3">
      <c r="A996">
        <v>368</v>
      </c>
      <c r="B996" t="s">
        <v>37</v>
      </c>
      <c r="C996" s="1">
        <v>44509.597222222219</v>
      </c>
      <c r="D996" s="1">
        <v>44511.786805555559</v>
      </c>
      <c r="E996" s="17">
        <f>IF(Tablo2[[#This Row],[Başlangıç]]="","",(IF(Tablo2[[#This Row],[Bitiş]]="",($G$1-Tablo2[[#This Row],[Başlangıç]])*24,(Tablo2[[#This Row],[Bitiş]]-Tablo2[[#This Row],[Başlangıç]])*24)))</f>
        <v>52.550000000162981</v>
      </c>
    </row>
    <row r="997" spans="1:5" x14ac:dyDescent="0.3">
      <c r="A997">
        <v>368</v>
      </c>
      <c r="B997" t="s">
        <v>65</v>
      </c>
      <c r="C997" s="1"/>
      <c r="D997" s="1"/>
      <c r="E997" s="17" t="str">
        <f>IF(Tablo2[[#This Row],[Başlangıç]]="","",(IF(Tablo2[[#This Row],[Bitiş]]="",($G$1-Tablo2[[#This Row],[Başlangıç]])*24,(Tablo2[[#This Row],[Bitiş]]-Tablo2[[#This Row],[Başlangıç]])*24)))</f>
        <v/>
      </c>
    </row>
    <row r="998" spans="1:5" x14ac:dyDescent="0.3">
      <c r="A998">
        <v>369</v>
      </c>
      <c r="B998" t="s">
        <v>36</v>
      </c>
      <c r="C998" s="1">
        <v>44509.963194444441</v>
      </c>
      <c r="D998" s="1">
        <v>44510.208333333336</v>
      </c>
      <c r="E998" s="17">
        <f>IF(Tablo2[[#This Row],[Başlangıç]]="","",(IF(Tablo2[[#This Row],[Bitiş]]="",($G$1-Tablo2[[#This Row],[Başlangıç]])*24,(Tablo2[[#This Row],[Bitiş]]-Tablo2[[#This Row],[Başlangıç]])*24)))</f>
        <v>5.8833333334769122</v>
      </c>
    </row>
    <row r="999" spans="1:5" x14ac:dyDescent="0.3">
      <c r="A999">
        <v>369</v>
      </c>
      <c r="B999" t="s">
        <v>84</v>
      </c>
      <c r="C999" s="1"/>
      <c r="D999" s="1"/>
      <c r="E99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00" spans="1:5" x14ac:dyDescent="0.3">
      <c r="A1000">
        <v>369</v>
      </c>
      <c r="B1000" t="s">
        <v>179</v>
      </c>
      <c r="C1000" s="1">
        <v>44509.963194444441</v>
      </c>
      <c r="D1000" s="1">
        <v>44509.984027777777</v>
      </c>
      <c r="E100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01" spans="1:5" x14ac:dyDescent="0.3">
      <c r="A1001">
        <v>369</v>
      </c>
      <c r="B1001" t="s">
        <v>68</v>
      </c>
      <c r="C1001" s="1">
        <v>44512.354166666664</v>
      </c>
      <c r="D1001" s="1">
        <v>44514.362500000003</v>
      </c>
      <c r="E1001" s="17">
        <f>IF(Tablo2[[#This Row],[Başlangıç]]="","",(IF(Tablo2[[#This Row],[Bitiş]]="",($G$1-Tablo2[[#This Row],[Başlangıç]])*24,(Tablo2[[#This Row],[Bitiş]]-Tablo2[[#This Row],[Başlangıç]])*24)))</f>
        <v>48.200000000128057</v>
      </c>
    </row>
    <row r="1002" spans="1:5" x14ac:dyDescent="0.3">
      <c r="A1002">
        <v>369</v>
      </c>
      <c r="B1002" t="s">
        <v>37</v>
      </c>
      <c r="C1002" s="1">
        <v>44510.861111111109</v>
      </c>
      <c r="D1002" s="1">
        <v>44512.496527777781</v>
      </c>
      <c r="E1002" s="17">
        <f>IF(Tablo2[[#This Row],[Başlangıç]]="","",(IF(Tablo2[[#This Row],[Bitiş]]="",($G$1-Tablo2[[#This Row],[Başlangıç]])*24,(Tablo2[[#This Row],[Bitiş]]-Tablo2[[#This Row],[Başlangıç]])*24)))</f>
        <v>39.250000000116415</v>
      </c>
    </row>
    <row r="1003" spans="1:5" x14ac:dyDescent="0.3">
      <c r="A1003">
        <v>369</v>
      </c>
      <c r="B1003" t="s">
        <v>65</v>
      </c>
      <c r="C1003" s="1">
        <v>44512.010416666664</v>
      </c>
      <c r="D1003" s="1">
        <v>44512.847916666666</v>
      </c>
      <c r="E1003" s="17">
        <f>IF(Tablo2[[#This Row],[Başlangıç]]="","",(IF(Tablo2[[#This Row],[Bitiş]]="",($G$1-Tablo2[[#This Row],[Başlangıç]])*24,(Tablo2[[#This Row],[Bitiş]]-Tablo2[[#This Row],[Başlangıç]])*24)))</f>
        <v>20.100000000034925</v>
      </c>
    </row>
    <row r="1004" spans="1:5" x14ac:dyDescent="0.3">
      <c r="A1004">
        <v>370</v>
      </c>
      <c r="B1004" t="s">
        <v>36</v>
      </c>
      <c r="C1004" s="1">
        <v>44510.401388888888</v>
      </c>
      <c r="D1004" s="1">
        <v>44510.96875</v>
      </c>
      <c r="E1004" s="17">
        <f>IF(Tablo2[[#This Row],[Başlangıç]]="","",(IF(Tablo2[[#This Row],[Bitiş]]="",($G$1-Tablo2[[#This Row],[Başlangıç]])*24,(Tablo2[[#This Row],[Bitiş]]-Tablo2[[#This Row],[Başlangıç]])*24)))</f>
        <v>13.616666666697711</v>
      </c>
    </row>
    <row r="1005" spans="1:5" x14ac:dyDescent="0.3">
      <c r="A1005">
        <v>370</v>
      </c>
      <c r="B1005" t="s">
        <v>84</v>
      </c>
      <c r="C1005" s="1"/>
      <c r="D1005" s="1"/>
      <c r="E10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06" spans="1:5" x14ac:dyDescent="0.3">
      <c r="A1006">
        <v>370</v>
      </c>
      <c r="B1006" t="s">
        <v>179</v>
      </c>
      <c r="C1006" s="1">
        <v>44510.401388888888</v>
      </c>
      <c r="D1006" s="1">
        <v>44510.422222222223</v>
      </c>
      <c r="E100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07" spans="1:5" x14ac:dyDescent="0.3">
      <c r="A1007">
        <v>370</v>
      </c>
      <c r="B1007" t="s">
        <v>68</v>
      </c>
      <c r="C1007" s="1">
        <v>44513.520833333336</v>
      </c>
      <c r="D1007" s="1">
        <v>44517.222916666666</v>
      </c>
      <c r="E1007" s="17">
        <f>IF(Tablo2[[#This Row],[Başlangıç]]="","",(IF(Tablo2[[#This Row],[Bitiş]]="",($G$1-Tablo2[[#This Row],[Başlangıç]])*24,(Tablo2[[#This Row],[Bitiş]]-Tablo2[[#This Row],[Başlangıç]])*24)))</f>
        <v>88.849999999918509</v>
      </c>
    </row>
    <row r="1008" spans="1:5" x14ac:dyDescent="0.3">
      <c r="A1008">
        <v>370</v>
      </c>
      <c r="B1008" t="s">
        <v>37</v>
      </c>
      <c r="C1008" s="1">
        <v>44510.833333333336</v>
      </c>
      <c r="D1008" s="1">
        <v>44516.090277777781</v>
      </c>
      <c r="E1008" s="17">
        <f>IF(Tablo2[[#This Row],[Başlangıç]]="","",(IF(Tablo2[[#This Row],[Bitiş]]="",($G$1-Tablo2[[#This Row],[Başlangıç]])*24,(Tablo2[[#This Row],[Bitiş]]-Tablo2[[#This Row],[Başlangıç]])*24)))</f>
        <v>126.16666666668607</v>
      </c>
    </row>
    <row r="1009" spans="1:5" x14ac:dyDescent="0.3">
      <c r="A1009">
        <v>370</v>
      </c>
      <c r="B1009" t="s">
        <v>65</v>
      </c>
      <c r="C1009" s="1">
        <v>44512.041666666664</v>
      </c>
      <c r="D1009" s="1">
        <v>44512.847916666666</v>
      </c>
      <c r="E1009" s="17">
        <f>IF(Tablo2[[#This Row],[Başlangıç]]="","",(IF(Tablo2[[#This Row],[Bitiş]]="",($G$1-Tablo2[[#This Row],[Başlangıç]])*24,(Tablo2[[#This Row],[Bitiş]]-Tablo2[[#This Row],[Başlangıç]])*24)))</f>
        <v>19.350000000034925</v>
      </c>
    </row>
    <row r="1010" spans="1:5" x14ac:dyDescent="0.3">
      <c r="A1010">
        <v>371</v>
      </c>
      <c r="B1010" t="s">
        <v>36</v>
      </c>
      <c r="C1010" s="1">
        <v>44510.739583333336</v>
      </c>
      <c r="D1010" s="1">
        <v>44516.393055555556</v>
      </c>
      <c r="E1010" s="17">
        <f>IF(Tablo2[[#This Row],[Başlangıç]]="","",(IF(Tablo2[[#This Row],[Bitiş]]="",($G$1-Tablo2[[#This Row],[Başlangıç]])*24,(Tablo2[[#This Row],[Bitiş]]-Tablo2[[#This Row],[Başlangıç]])*24)))</f>
        <v>135.68333333329065</v>
      </c>
    </row>
    <row r="1011" spans="1:5" x14ac:dyDescent="0.3">
      <c r="A1011">
        <v>371</v>
      </c>
      <c r="B1011" t="s">
        <v>84</v>
      </c>
      <c r="C1011" s="1"/>
      <c r="D1011" s="1"/>
      <c r="E10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12" spans="1:5" x14ac:dyDescent="0.3">
      <c r="A1012">
        <v>371</v>
      </c>
      <c r="B1012" t="s">
        <v>179</v>
      </c>
      <c r="C1012" s="1">
        <v>44510.739583333336</v>
      </c>
      <c r="D1012" s="1">
        <v>44510.760416666664</v>
      </c>
      <c r="E101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013" spans="1:5" x14ac:dyDescent="0.3">
      <c r="A1013">
        <v>371</v>
      </c>
      <c r="B1013" t="s">
        <v>68</v>
      </c>
      <c r="C1013" s="1"/>
      <c r="D1013" s="1"/>
      <c r="E101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14" spans="1:5" x14ac:dyDescent="0.3">
      <c r="A1014">
        <v>371</v>
      </c>
      <c r="B1014" t="s">
        <v>37</v>
      </c>
      <c r="C1014" s="1">
        <v>44511.583333333336</v>
      </c>
      <c r="D1014" s="1">
        <v>44515.138888888891</v>
      </c>
      <c r="E1014" s="17">
        <f>IF(Tablo2[[#This Row],[Başlangıç]]="","",(IF(Tablo2[[#This Row],[Bitiş]]="",($G$1-Tablo2[[#This Row],[Başlangıç]])*24,(Tablo2[[#This Row],[Bitiş]]-Tablo2[[#This Row],[Başlangıç]])*24)))</f>
        <v>85.333333333313931</v>
      </c>
    </row>
    <row r="1015" spans="1:5" x14ac:dyDescent="0.3">
      <c r="A1015">
        <v>371</v>
      </c>
      <c r="B1015" t="s">
        <v>65</v>
      </c>
      <c r="C1015" s="1">
        <v>44512.80972222222</v>
      </c>
      <c r="D1015" s="1">
        <v>44516.54583333333</v>
      </c>
      <c r="E1015" s="17">
        <f>IF(Tablo2[[#This Row],[Başlangıç]]="","",(IF(Tablo2[[#This Row],[Bitiş]]="",($G$1-Tablo2[[#This Row],[Başlangıç]])*24,(Tablo2[[#This Row],[Bitiş]]-Tablo2[[#This Row],[Başlangıç]])*24)))</f>
        <v>89.666666666627862</v>
      </c>
    </row>
    <row r="1016" spans="1:5" x14ac:dyDescent="0.3">
      <c r="A1016">
        <v>372</v>
      </c>
      <c r="B1016" t="s">
        <v>36</v>
      </c>
      <c r="C1016" s="1">
        <v>44511.21597222222</v>
      </c>
      <c r="D1016" s="1">
        <v>44513.085416666669</v>
      </c>
      <c r="E1016" s="17">
        <f>IF(Tablo2[[#This Row],[Başlangıç]]="","",(IF(Tablo2[[#This Row],[Bitiş]]="",($G$1-Tablo2[[#This Row],[Başlangıç]])*24,(Tablo2[[#This Row],[Bitiş]]-Tablo2[[#This Row],[Başlangıç]])*24)))</f>
        <v>44.866666666755918</v>
      </c>
    </row>
    <row r="1017" spans="1:5" x14ac:dyDescent="0.3">
      <c r="A1017">
        <v>372</v>
      </c>
      <c r="B1017" t="s">
        <v>84</v>
      </c>
      <c r="C1017" s="1"/>
      <c r="D1017" s="1"/>
      <c r="E101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18" spans="1:5" x14ac:dyDescent="0.3">
      <c r="A1018">
        <v>372</v>
      </c>
      <c r="B1018" t="s">
        <v>179</v>
      </c>
      <c r="C1018" s="1">
        <v>44511.21597222222</v>
      </c>
      <c r="D1018" s="1">
        <v>44511.236805555556</v>
      </c>
      <c r="E101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19" spans="1:5" x14ac:dyDescent="0.3">
      <c r="A1019">
        <v>372</v>
      </c>
      <c r="B1019" t="s">
        <v>68</v>
      </c>
      <c r="C1019" s="1">
        <v>44514.416666666664</v>
      </c>
      <c r="D1019" s="1">
        <v>44516.250694444447</v>
      </c>
      <c r="E1019" s="17">
        <f>IF(Tablo2[[#This Row],[Başlangıç]]="","",(IF(Tablo2[[#This Row],[Bitiş]]="",($G$1-Tablo2[[#This Row],[Başlangıç]])*24,(Tablo2[[#This Row],[Bitiş]]-Tablo2[[#This Row],[Başlangıç]])*24)))</f>
        <v>44.016666666779201</v>
      </c>
    </row>
    <row r="1020" spans="1:5" x14ac:dyDescent="0.3">
      <c r="A1020">
        <v>372</v>
      </c>
      <c r="B1020" t="s">
        <v>37</v>
      </c>
      <c r="C1020" s="1">
        <v>44511.715277777781</v>
      </c>
      <c r="D1020" s="1">
        <v>44515.0625</v>
      </c>
      <c r="E1020" s="17">
        <f>IF(Tablo2[[#This Row],[Başlangıç]]="","",(IF(Tablo2[[#This Row],[Bitiş]]="",($G$1-Tablo2[[#This Row],[Başlangıç]])*24,(Tablo2[[#This Row],[Bitiş]]-Tablo2[[#This Row],[Başlangıç]])*24)))</f>
        <v>80.333333333255723</v>
      </c>
    </row>
    <row r="1021" spans="1:5" x14ac:dyDescent="0.3">
      <c r="A1021">
        <v>372</v>
      </c>
      <c r="B1021" t="s">
        <v>65</v>
      </c>
      <c r="C1021" s="1">
        <v>44513.354166666664</v>
      </c>
      <c r="D1021" s="1">
        <v>44513.180555555555</v>
      </c>
      <c r="E1021" s="17">
        <f>IF(Tablo2[[#This Row],[Başlangıç]]="","",(IF(Tablo2[[#This Row],[Bitiş]]="",($G$1-Tablo2[[#This Row],[Başlangıç]])*24,(Tablo2[[#This Row],[Bitiş]]-Tablo2[[#This Row],[Başlangıç]])*24)))</f>
        <v>-4.1666666666278616</v>
      </c>
    </row>
    <row r="1022" spans="1:5" x14ac:dyDescent="0.3">
      <c r="A1022">
        <v>373</v>
      </c>
      <c r="B1022" t="s">
        <v>36</v>
      </c>
      <c r="C1022" s="1">
        <v>44511.375</v>
      </c>
      <c r="D1022" s="1">
        <v>44521.583333333336</v>
      </c>
      <c r="E1022" s="17">
        <f>IF(Tablo2[[#This Row],[Başlangıç]]="","",(IF(Tablo2[[#This Row],[Bitiş]]="",($G$1-Tablo2[[#This Row],[Başlangıç]])*24,(Tablo2[[#This Row],[Bitiş]]-Tablo2[[#This Row],[Başlangıç]])*24)))</f>
        <v>245.00000000005821</v>
      </c>
    </row>
    <row r="1023" spans="1:5" x14ac:dyDescent="0.3">
      <c r="A1023">
        <v>373</v>
      </c>
      <c r="B1023" t="s">
        <v>84</v>
      </c>
      <c r="C1023" s="1"/>
      <c r="D1023" s="1"/>
      <c r="E10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24" spans="1:5" x14ac:dyDescent="0.3">
      <c r="A1024">
        <v>373</v>
      </c>
      <c r="B1024" t="s">
        <v>179</v>
      </c>
      <c r="C1024" s="1">
        <v>44511.375</v>
      </c>
      <c r="D1024" s="1">
        <v>44511.395833333336</v>
      </c>
      <c r="E10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25" spans="1:5" x14ac:dyDescent="0.3">
      <c r="A1025">
        <v>373</v>
      </c>
      <c r="B1025" t="s">
        <v>68</v>
      </c>
      <c r="C1025" s="1">
        <v>44516.458333333336</v>
      </c>
      <c r="D1025" s="1">
        <v>44517.654861111114</v>
      </c>
      <c r="E1025" s="17">
        <f>IF(Tablo2[[#This Row],[Başlangıç]]="","",(IF(Tablo2[[#This Row],[Bitiş]]="",($G$1-Tablo2[[#This Row],[Başlangıç]])*24,(Tablo2[[#This Row],[Bitiş]]-Tablo2[[#This Row],[Başlangıç]])*24)))</f>
        <v>28.716666666674428</v>
      </c>
    </row>
    <row r="1026" spans="1:5" x14ac:dyDescent="0.3">
      <c r="A1026">
        <v>373</v>
      </c>
      <c r="B1026" t="s">
        <v>37</v>
      </c>
      <c r="C1026" s="1">
        <v>44512.465277777781</v>
      </c>
      <c r="D1026" s="1">
        <v>44521.666666666664</v>
      </c>
      <c r="E1026" s="17">
        <f>IF(Tablo2[[#This Row],[Başlangıç]]="","",(IF(Tablo2[[#This Row],[Bitiş]]="",($G$1-Tablo2[[#This Row],[Başlangıç]])*24,(Tablo2[[#This Row],[Bitiş]]-Tablo2[[#This Row],[Başlangıç]])*24)))</f>
        <v>220.83333333319752</v>
      </c>
    </row>
    <row r="1027" spans="1:5" x14ac:dyDescent="0.3">
      <c r="A1027">
        <v>373</v>
      </c>
      <c r="B1027" t="s">
        <v>65</v>
      </c>
      <c r="C1027" s="1">
        <v>44511.458333333336</v>
      </c>
      <c r="D1027" s="1">
        <v>44515.160416666666</v>
      </c>
      <c r="E1027" s="17">
        <f>IF(Tablo2[[#This Row],[Başlangıç]]="","",(IF(Tablo2[[#This Row],[Bitiş]]="",($G$1-Tablo2[[#This Row],[Başlangıç]])*24,(Tablo2[[#This Row],[Bitiş]]-Tablo2[[#This Row],[Başlangıç]])*24)))</f>
        <v>88.849999999918509</v>
      </c>
    </row>
    <row r="1028" spans="1:5" x14ac:dyDescent="0.3">
      <c r="A1028">
        <v>374</v>
      </c>
      <c r="B1028" t="s">
        <v>36</v>
      </c>
      <c r="C1028" s="1">
        <v>44512.208333333336</v>
      </c>
      <c r="D1028" s="1">
        <v>44521.5</v>
      </c>
      <c r="E1028" s="17">
        <f>IF(Tablo2[[#This Row],[Başlangıç]]="","",(IF(Tablo2[[#This Row],[Bitiş]]="",($G$1-Tablo2[[#This Row],[Başlangıç]])*24,(Tablo2[[#This Row],[Bitiş]]-Tablo2[[#This Row],[Başlangıç]])*24)))</f>
        <v>222.99999999994179</v>
      </c>
    </row>
    <row r="1029" spans="1:5" x14ac:dyDescent="0.3">
      <c r="A1029">
        <v>374</v>
      </c>
      <c r="B1029" t="s">
        <v>84</v>
      </c>
      <c r="C1029" s="1"/>
      <c r="D1029" s="1"/>
      <c r="E102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30" spans="1:5" x14ac:dyDescent="0.3">
      <c r="A1030">
        <v>374</v>
      </c>
      <c r="B1030" t="s">
        <v>179</v>
      </c>
      <c r="C1030" s="1">
        <v>44512.208333333336</v>
      </c>
      <c r="D1030" s="1">
        <v>44512.229166666664</v>
      </c>
      <c r="E103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031" spans="1:5" x14ac:dyDescent="0.3">
      <c r="A1031">
        <v>374</v>
      </c>
      <c r="B1031" t="s">
        <v>68</v>
      </c>
      <c r="C1031" s="1">
        <v>44516.625</v>
      </c>
      <c r="D1031" s="1">
        <v>44516.826388888891</v>
      </c>
      <c r="E1031" s="17">
        <f>IF(Tablo2[[#This Row],[Başlangıç]]="","",(IF(Tablo2[[#This Row],[Bitiş]]="",($G$1-Tablo2[[#This Row],[Başlangıç]])*24,(Tablo2[[#This Row],[Bitiş]]-Tablo2[[#This Row],[Başlangıç]])*24)))</f>
        <v>4.8333333333721384</v>
      </c>
    </row>
    <row r="1032" spans="1:5" x14ac:dyDescent="0.3">
      <c r="A1032">
        <v>374</v>
      </c>
      <c r="B1032" t="s">
        <v>37</v>
      </c>
      <c r="C1032" s="1">
        <v>44512.888888888891</v>
      </c>
      <c r="D1032" s="1">
        <v>44521.5</v>
      </c>
      <c r="E1032" s="17">
        <f>IF(Tablo2[[#This Row],[Başlangıç]]="","",(IF(Tablo2[[#This Row],[Bitiş]]="",($G$1-Tablo2[[#This Row],[Başlangıç]])*24,(Tablo2[[#This Row],[Bitiş]]-Tablo2[[#This Row],[Başlangıç]])*24)))</f>
        <v>206.66666666662786</v>
      </c>
    </row>
    <row r="1033" spans="1:5" x14ac:dyDescent="0.3">
      <c r="A1033">
        <v>374</v>
      </c>
      <c r="B1033" t="s">
        <v>65</v>
      </c>
      <c r="C1033" s="1"/>
      <c r="D1033" s="1"/>
      <c r="E103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34" spans="1:5" x14ac:dyDescent="0.3">
      <c r="A1034">
        <v>375</v>
      </c>
      <c r="B1034" t="s">
        <v>36</v>
      </c>
      <c r="C1034" s="1">
        <v>44511.534722222219</v>
      </c>
      <c r="D1034" s="1">
        <v>44517.602083333331</v>
      </c>
      <c r="E1034" s="17">
        <f>IF(Tablo2[[#This Row],[Başlangıç]]="","",(IF(Tablo2[[#This Row],[Bitiş]]="",($G$1-Tablo2[[#This Row],[Başlangıç]])*24,(Tablo2[[#This Row],[Bitiş]]-Tablo2[[#This Row],[Başlangıç]])*24)))</f>
        <v>145.61666666669771</v>
      </c>
    </row>
    <row r="1035" spans="1:5" x14ac:dyDescent="0.3">
      <c r="A1035">
        <v>375</v>
      </c>
      <c r="B1035" t="s">
        <v>84</v>
      </c>
      <c r="C1035" s="1"/>
      <c r="D1035" s="1"/>
      <c r="E103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36" spans="1:5" x14ac:dyDescent="0.3">
      <c r="A1036">
        <v>375</v>
      </c>
      <c r="B1036" t="s">
        <v>179</v>
      </c>
      <c r="C1036" s="1">
        <v>44512.527777777781</v>
      </c>
      <c r="D1036" s="1">
        <v>44512.548611111109</v>
      </c>
      <c r="E103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037" spans="1:5" x14ac:dyDescent="0.3">
      <c r="A1037">
        <v>375</v>
      </c>
      <c r="B1037" t="s">
        <v>68</v>
      </c>
      <c r="C1037" s="1">
        <v>44517.416666666664</v>
      </c>
      <c r="D1037" s="1">
        <v>44517.51458333333</v>
      </c>
      <c r="E1037" s="17">
        <f>IF(Tablo2[[#This Row],[Başlangıç]]="","",(IF(Tablo2[[#This Row],[Bitiş]]="",($G$1-Tablo2[[#This Row],[Başlangıç]])*24,(Tablo2[[#This Row],[Bitiş]]-Tablo2[[#This Row],[Başlangıç]])*24)))</f>
        <v>2.3499999999767169</v>
      </c>
    </row>
    <row r="1038" spans="1:5" x14ac:dyDescent="0.3">
      <c r="A1038">
        <v>375</v>
      </c>
      <c r="B1038" t="s">
        <v>37</v>
      </c>
      <c r="C1038" s="1">
        <v>44513.166666666664</v>
      </c>
      <c r="D1038" s="1">
        <v>44518.457638888889</v>
      </c>
      <c r="E1038" s="17">
        <f>IF(Tablo2[[#This Row],[Başlangıç]]="","",(IF(Tablo2[[#This Row],[Bitiş]]="",($G$1-Tablo2[[#This Row],[Başlangıç]])*24,(Tablo2[[#This Row],[Bitiş]]-Tablo2[[#This Row],[Başlangıç]])*24)))</f>
        <v>126.98333333339542</v>
      </c>
    </row>
    <row r="1039" spans="1:5" x14ac:dyDescent="0.3">
      <c r="A1039">
        <v>375</v>
      </c>
      <c r="B1039" t="s">
        <v>65</v>
      </c>
      <c r="C1039" s="1"/>
      <c r="D1039" s="1"/>
      <c r="E103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40" spans="1:5" x14ac:dyDescent="0.3">
      <c r="A1040">
        <v>376</v>
      </c>
      <c r="B1040" t="s">
        <v>36</v>
      </c>
      <c r="C1040" s="1">
        <v>44512.458333333336</v>
      </c>
      <c r="D1040" s="1">
        <v>44513.583333333336</v>
      </c>
      <c r="E1040" s="17">
        <f>IF(Tablo2[[#This Row],[Başlangıç]]="","",(IF(Tablo2[[#This Row],[Bitiş]]="",($G$1-Tablo2[[#This Row],[Başlangıç]])*24,(Tablo2[[#This Row],[Bitiş]]-Tablo2[[#This Row],[Başlangıç]])*24)))</f>
        <v>27</v>
      </c>
    </row>
    <row r="1041" spans="1:5" x14ac:dyDescent="0.3">
      <c r="A1041">
        <v>376</v>
      </c>
      <c r="B1041" t="s">
        <v>84</v>
      </c>
      <c r="C1041" s="1"/>
      <c r="D1041" s="1"/>
      <c r="E104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42" spans="1:5" x14ac:dyDescent="0.3">
      <c r="A1042">
        <v>376</v>
      </c>
      <c r="B1042" t="s">
        <v>179</v>
      </c>
      <c r="C1042" s="1">
        <v>44512.458333333336</v>
      </c>
      <c r="D1042" s="1">
        <v>44512.479166666664</v>
      </c>
      <c r="E104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043" spans="1:5" x14ac:dyDescent="0.3">
      <c r="A1043">
        <v>376</v>
      </c>
      <c r="B1043" t="s">
        <v>68</v>
      </c>
      <c r="C1043" s="1">
        <v>44517.020833333336</v>
      </c>
      <c r="D1043" s="1">
        <v>44518.498611111114</v>
      </c>
      <c r="E1043" s="17">
        <f>IF(Tablo2[[#This Row],[Başlangıç]]="","",(IF(Tablo2[[#This Row],[Bitiş]]="",($G$1-Tablo2[[#This Row],[Başlangıç]])*24,(Tablo2[[#This Row],[Bitiş]]-Tablo2[[#This Row],[Başlangıç]])*24)))</f>
        <v>35.466666666674428</v>
      </c>
    </row>
    <row r="1044" spans="1:5" x14ac:dyDescent="0.3">
      <c r="A1044">
        <v>376</v>
      </c>
      <c r="B1044" t="s">
        <v>37</v>
      </c>
      <c r="C1044" s="1">
        <v>44513.229166666664</v>
      </c>
      <c r="D1044" s="1">
        <v>44516.357638888891</v>
      </c>
      <c r="E1044" s="17">
        <f>IF(Tablo2[[#This Row],[Başlangıç]]="","",(IF(Tablo2[[#This Row],[Bitiş]]="",($G$1-Tablo2[[#This Row],[Başlangıç]])*24,(Tablo2[[#This Row],[Bitiş]]-Tablo2[[#This Row],[Başlangıç]])*24)))</f>
        <v>75.083333333430346</v>
      </c>
    </row>
    <row r="1045" spans="1:5" x14ac:dyDescent="0.3">
      <c r="A1045">
        <v>376</v>
      </c>
      <c r="B1045" t="s">
        <v>65</v>
      </c>
      <c r="C1045" s="1"/>
      <c r="D1045" s="1"/>
      <c r="E104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46" spans="1:5" x14ac:dyDescent="0.3">
      <c r="A1046">
        <v>377</v>
      </c>
      <c r="B1046" t="s">
        <v>36</v>
      </c>
      <c r="C1046" s="1">
        <v>44513.041666666664</v>
      </c>
      <c r="D1046" s="1">
        <v>44513.868055555555</v>
      </c>
      <c r="E1046" s="17">
        <f>IF(Tablo2[[#This Row],[Başlangıç]]="","",(IF(Tablo2[[#This Row],[Bitiş]]="",($G$1-Tablo2[[#This Row],[Başlangıç]])*24,(Tablo2[[#This Row],[Bitiş]]-Tablo2[[#This Row],[Başlangıç]])*24)))</f>
        <v>19.833333333372138</v>
      </c>
    </row>
    <row r="1047" spans="1:5" x14ac:dyDescent="0.3">
      <c r="A1047">
        <v>377</v>
      </c>
      <c r="B1047" t="s">
        <v>84</v>
      </c>
      <c r="C1047" s="1"/>
      <c r="D1047" s="1"/>
      <c r="E104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48" spans="1:5" x14ac:dyDescent="0.3">
      <c r="A1048">
        <v>377</v>
      </c>
      <c r="B1048" t="s">
        <v>179</v>
      </c>
      <c r="C1048" s="1">
        <v>44513.041666666664</v>
      </c>
      <c r="D1048" s="1">
        <v>44513.0625</v>
      </c>
      <c r="E104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49" spans="1:5" x14ac:dyDescent="0.3">
      <c r="A1049">
        <v>377</v>
      </c>
      <c r="B1049" t="s">
        <v>68</v>
      </c>
      <c r="C1049" s="1">
        <v>44519.541666666664</v>
      </c>
      <c r="D1049" s="1">
        <v>44519.634722222225</v>
      </c>
      <c r="E1049" s="17">
        <f>IF(Tablo2[[#This Row],[Başlangıç]]="","",(IF(Tablo2[[#This Row],[Bitiş]]="",($G$1-Tablo2[[#This Row],[Başlangıç]])*24,(Tablo2[[#This Row],[Bitiş]]-Tablo2[[#This Row],[Başlangıç]])*24)))</f>
        <v>2.2333333334536292</v>
      </c>
    </row>
    <row r="1050" spans="1:5" x14ac:dyDescent="0.3">
      <c r="A1050">
        <v>377</v>
      </c>
      <c r="B1050" t="s">
        <v>37</v>
      </c>
      <c r="C1050" s="1">
        <v>44514.135416666664</v>
      </c>
      <c r="D1050" s="1">
        <v>44519.916666666664</v>
      </c>
      <c r="E1050" s="17">
        <f>IF(Tablo2[[#This Row],[Başlangıç]]="","",(IF(Tablo2[[#This Row],[Bitiş]]="",($G$1-Tablo2[[#This Row],[Başlangıç]])*24,(Tablo2[[#This Row],[Bitiş]]-Tablo2[[#This Row],[Başlangıç]])*24)))</f>
        <v>138.75</v>
      </c>
    </row>
    <row r="1051" spans="1:5" x14ac:dyDescent="0.3">
      <c r="A1051">
        <v>377</v>
      </c>
      <c r="B1051" t="s">
        <v>65</v>
      </c>
      <c r="C1051" s="1"/>
      <c r="D1051" s="1"/>
      <c r="E105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52" spans="1:5" x14ac:dyDescent="0.3">
      <c r="A1052">
        <v>378</v>
      </c>
      <c r="B1052" t="s">
        <v>36</v>
      </c>
      <c r="C1052" s="1">
        <v>44514.0625</v>
      </c>
      <c r="D1052" s="1">
        <v>44514.40625</v>
      </c>
      <c r="E1052" s="17">
        <f>IF(Tablo2[[#This Row],[Başlangıç]]="","",(IF(Tablo2[[#This Row],[Bitiş]]="",($G$1-Tablo2[[#This Row],[Başlangıç]])*24,(Tablo2[[#This Row],[Bitiş]]-Tablo2[[#This Row],[Başlangıç]])*24)))</f>
        <v>8.25</v>
      </c>
    </row>
    <row r="1053" spans="1:5" x14ac:dyDescent="0.3">
      <c r="A1053">
        <v>378</v>
      </c>
      <c r="B1053" t="s">
        <v>84</v>
      </c>
      <c r="C1053" s="1">
        <v>44520.041666666664</v>
      </c>
      <c r="D1053" s="1">
        <v>44520.416666666664</v>
      </c>
      <c r="E1053" s="17">
        <f>IF(Tablo2[[#This Row],[Başlangıç]]="","",(IF(Tablo2[[#This Row],[Bitiş]]="",($G$1-Tablo2[[#This Row],[Başlangıç]])*24,(Tablo2[[#This Row],[Bitiş]]-Tablo2[[#This Row],[Başlangıç]])*24)))</f>
        <v>9</v>
      </c>
    </row>
    <row r="1054" spans="1:5" x14ac:dyDescent="0.3">
      <c r="A1054">
        <v>378</v>
      </c>
      <c r="B1054" t="s">
        <v>179</v>
      </c>
      <c r="C1054" s="1">
        <v>44514.541666666664</v>
      </c>
      <c r="D1054" s="1">
        <v>44514.5625</v>
      </c>
      <c r="E105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55" spans="1:5" x14ac:dyDescent="0.3">
      <c r="A1055">
        <v>378</v>
      </c>
      <c r="B1055" t="s">
        <v>68</v>
      </c>
      <c r="C1055" s="1">
        <v>44519.131944444445</v>
      </c>
      <c r="D1055" s="1">
        <v>44520.306944444441</v>
      </c>
      <c r="E1055" s="17">
        <f>IF(Tablo2[[#This Row],[Başlangıç]]="","",(IF(Tablo2[[#This Row],[Bitiş]]="",($G$1-Tablo2[[#This Row],[Başlangıç]])*24,(Tablo2[[#This Row],[Bitiş]]-Tablo2[[#This Row],[Başlangıç]])*24)))</f>
        <v>28.199999999895226</v>
      </c>
    </row>
    <row r="1056" spans="1:5" x14ac:dyDescent="0.3">
      <c r="A1056">
        <v>378</v>
      </c>
      <c r="B1056" t="s">
        <v>37</v>
      </c>
      <c r="C1056" s="1">
        <v>44514.958333333336</v>
      </c>
      <c r="D1056" s="1">
        <v>44519.5</v>
      </c>
      <c r="E1056" s="17">
        <f>IF(Tablo2[[#This Row],[Başlangıç]]="","",(IF(Tablo2[[#This Row],[Bitiş]]="",($G$1-Tablo2[[#This Row],[Başlangıç]])*24,(Tablo2[[#This Row],[Bitiş]]-Tablo2[[#This Row],[Başlangıç]])*24)))</f>
        <v>108.99999999994179</v>
      </c>
    </row>
    <row r="1057" spans="1:5" x14ac:dyDescent="0.3">
      <c r="A1057">
        <v>378</v>
      </c>
      <c r="B1057" t="s">
        <v>65</v>
      </c>
      <c r="C1057" s="1">
        <v>44515.625</v>
      </c>
      <c r="D1057" s="1">
        <v>44516.791666666664</v>
      </c>
      <c r="E1057" s="17">
        <f>IF(Tablo2[[#This Row],[Başlangıç]]="","",(IF(Tablo2[[#This Row],[Bitiş]]="",($G$1-Tablo2[[#This Row],[Başlangıç]])*24,(Tablo2[[#This Row],[Bitiş]]-Tablo2[[#This Row],[Başlangıç]])*24)))</f>
        <v>27.999999999941792</v>
      </c>
    </row>
    <row r="1058" spans="1:5" x14ac:dyDescent="0.3">
      <c r="A1058">
        <v>379</v>
      </c>
      <c r="B1058" t="s">
        <v>36</v>
      </c>
      <c r="C1058" s="1">
        <v>44514.208333333336</v>
      </c>
      <c r="D1058" s="1">
        <v>44514.657638888886</v>
      </c>
      <c r="E1058" s="17">
        <f>IF(Tablo2[[#This Row],[Başlangıç]]="","",(IF(Tablo2[[#This Row],[Bitiş]]="",($G$1-Tablo2[[#This Row],[Başlangıç]])*24,(Tablo2[[#This Row],[Bitiş]]-Tablo2[[#This Row],[Başlangıç]])*24)))</f>
        <v>10.783333333209157</v>
      </c>
    </row>
    <row r="1059" spans="1:5" x14ac:dyDescent="0.3">
      <c r="A1059">
        <v>379</v>
      </c>
      <c r="B1059" t="s">
        <v>84</v>
      </c>
      <c r="C1059" s="1"/>
      <c r="D1059" s="1"/>
      <c r="E105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60" spans="1:5" x14ac:dyDescent="0.3">
      <c r="A1060">
        <v>379</v>
      </c>
      <c r="B1060" t="s">
        <v>179</v>
      </c>
      <c r="C1060" s="1">
        <v>44514.5</v>
      </c>
      <c r="D1060" s="1">
        <v>44514.520833333336</v>
      </c>
      <c r="E106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61" spans="1:5" x14ac:dyDescent="0.3">
      <c r="A1061">
        <v>379</v>
      </c>
      <c r="B1061" t="s">
        <v>68</v>
      </c>
      <c r="C1061" s="1"/>
      <c r="D1061" s="1"/>
      <c r="E106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62" spans="1:5" x14ac:dyDescent="0.3">
      <c r="A1062">
        <v>379</v>
      </c>
      <c r="B1062" t="s">
        <v>37</v>
      </c>
      <c r="C1062" s="1">
        <v>44514.607638888891</v>
      </c>
      <c r="D1062" s="1">
        <v>44521.301388888889</v>
      </c>
      <c r="E1062" s="17">
        <f>IF(Tablo2[[#This Row],[Başlangıç]]="","",(IF(Tablo2[[#This Row],[Bitiş]]="",($G$1-Tablo2[[#This Row],[Başlangıç]])*24,(Tablo2[[#This Row],[Bitiş]]-Tablo2[[#This Row],[Başlangıç]])*24)))</f>
        <v>160.64999999996508</v>
      </c>
    </row>
    <row r="1063" spans="1:5" x14ac:dyDescent="0.3">
      <c r="A1063">
        <v>379</v>
      </c>
      <c r="B1063" t="s">
        <v>65</v>
      </c>
      <c r="C1063" s="1"/>
      <c r="D1063" s="1"/>
      <c r="E106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64" spans="1:5" x14ac:dyDescent="0.3">
      <c r="A1064">
        <v>380</v>
      </c>
      <c r="B1064" t="s">
        <v>36</v>
      </c>
      <c r="C1064" s="1">
        <v>44514.166666666664</v>
      </c>
      <c r="D1064" s="1">
        <v>44516.527777777781</v>
      </c>
      <c r="E1064" s="17">
        <f>IF(Tablo2[[#This Row],[Başlangıç]]="","",(IF(Tablo2[[#This Row],[Bitiş]]="",($G$1-Tablo2[[#This Row],[Başlangıç]])*24,(Tablo2[[#This Row],[Bitiş]]-Tablo2[[#This Row],[Başlangıç]])*24)))</f>
        <v>56.666666666802485</v>
      </c>
    </row>
    <row r="1065" spans="1:5" x14ac:dyDescent="0.3">
      <c r="A1065">
        <v>380</v>
      </c>
      <c r="B1065" t="s">
        <v>84</v>
      </c>
      <c r="C1065" s="1"/>
      <c r="D1065" s="1"/>
      <c r="E106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66" spans="1:5" x14ac:dyDescent="0.3">
      <c r="A1066">
        <v>380</v>
      </c>
      <c r="B1066" t="s">
        <v>179</v>
      </c>
      <c r="C1066" s="1">
        <v>44514.166666666664</v>
      </c>
      <c r="D1066" s="1">
        <v>44514.1875</v>
      </c>
      <c r="E106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67" spans="1:5" x14ac:dyDescent="0.3">
      <c r="A1067">
        <v>380</v>
      </c>
      <c r="B1067" t="s">
        <v>68</v>
      </c>
      <c r="C1067" s="1">
        <v>44518.263888888891</v>
      </c>
      <c r="D1067" s="1">
        <v>44518.284722222219</v>
      </c>
      <c r="E1067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068" spans="1:5" x14ac:dyDescent="0.3">
      <c r="A1068">
        <v>380</v>
      </c>
      <c r="B1068" t="s">
        <v>37</v>
      </c>
      <c r="C1068" s="1">
        <v>44515.138888888891</v>
      </c>
      <c r="D1068" s="1">
        <v>44516.615277777775</v>
      </c>
      <c r="E1068" s="17">
        <f>IF(Tablo2[[#This Row],[Başlangıç]]="","",(IF(Tablo2[[#This Row],[Bitiş]]="",($G$1-Tablo2[[#This Row],[Başlangıç]])*24,(Tablo2[[#This Row],[Bitiş]]-Tablo2[[#This Row],[Başlangıç]])*24)))</f>
        <v>35.43333333323244</v>
      </c>
    </row>
    <row r="1069" spans="1:5" x14ac:dyDescent="0.3">
      <c r="A1069">
        <v>380</v>
      </c>
      <c r="B1069" t="s">
        <v>65</v>
      </c>
      <c r="C1069" s="1"/>
      <c r="D1069" s="1"/>
      <c r="E106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70" spans="1:5" x14ac:dyDescent="0.3">
      <c r="A1070">
        <v>381</v>
      </c>
      <c r="B1070" t="s">
        <v>36</v>
      </c>
      <c r="C1070" s="1">
        <v>44515.020833333336</v>
      </c>
      <c r="D1070" s="1">
        <v>44515.067361111112</v>
      </c>
      <c r="E1070" s="17">
        <f>IF(Tablo2[[#This Row],[Başlangıç]]="","",(IF(Tablo2[[#This Row],[Bitiş]]="",($G$1-Tablo2[[#This Row],[Başlangıç]])*24,(Tablo2[[#This Row],[Bitiş]]-Tablo2[[#This Row],[Başlangıç]])*24)))</f>
        <v>1.1166666666395031</v>
      </c>
    </row>
    <row r="1071" spans="1:5" x14ac:dyDescent="0.3">
      <c r="A1071">
        <v>381</v>
      </c>
      <c r="B1071" t="s">
        <v>84</v>
      </c>
      <c r="C1071" s="1"/>
      <c r="D1071" s="1"/>
      <c r="E107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72" spans="1:5" x14ac:dyDescent="0.3">
      <c r="A1072">
        <v>381</v>
      </c>
      <c r="B1072" t="s">
        <v>179</v>
      </c>
      <c r="C1072" s="1">
        <v>44515.5</v>
      </c>
      <c r="D1072" s="1">
        <v>44515.520833333336</v>
      </c>
      <c r="E10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73" spans="1:5" x14ac:dyDescent="0.3">
      <c r="A1073">
        <v>381</v>
      </c>
      <c r="B1073" t="s">
        <v>68</v>
      </c>
      <c r="C1073" s="1">
        <v>44518.5625</v>
      </c>
      <c r="D1073" s="1">
        <v>44519.041666666664</v>
      </c>
      <c r="E1073" s="17">
        <f>IF(Tablo2[[#This Row],[Başlangıç]]="","",(IF(Tablo2[[#This Row],[Bitiş]]="",($G$1-Tablo2[[#This Row],[Başlangıç]])*24,(Tablo2[[#This Row],[Bitiş]]-Tablo2[[#This Row],[Başlangıç]])*24)))</f>
        <v>11.499999999941792</v>
      </c>
    </row>
    <row r="1074" spans="1:5" x14ac:dyDescent="0.3">
      <c r="A1074">
        <v>381</v>
      </c>
      <c r="B1074" t="s">
        <v>37</v>
      </c>
      <c r="C1074" s="1">
        <v>44515.854166666664</v>
      </c>
      <c r="D1074" s="1">
        <v>44518.503472222219</v>
      </c>
      <c r="E1074" s="17">
        <f>IF(Tablo2[[#This Row],[Başlangıç]]="","",(IF(Tablo2[[#This Row],[Bitiş]]="",($G$1-Tablo2[[#This Row],[Başlangıç]])*24,(Tablo2[[#This Row],[Bitiş]]-Tablo2[[#This Row],[Başlangıç]])*24)))</f>
        <v>63.583333333313931</v>
      </c>
    </row>
    <row r="1075" spans="1:5" x14ac:dyDescent="0.3">
      <c r="A1075">
        <v>381</v>
      </c>
      <c r="B1075" t="s">
        <v>65</v>
      </c>
      <c r="C1075" s="1"/>
      <c r="D1075" s="1"/>
      <c r="E107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76" spans="1:5" x14ac:dyDescent="0.3">
      <c r="A1076">
        <v>382</v>
      </c>
      <c r="B1076" t="s">
        <v>36</v>
      </c>
      <c r="C1076" s="1">
        <v>44515.644444444442</v>
      </c>
      <c r="D1076" s="1">
        <v>44516.263888888891</v>
      </c>
      <c r="E1076" s="17">
        <f>IF(Tablo2[[#This Row],[Başlangıç]]="","",(IF(Tablo2[[#This Row],[Bitiş]]="",($G$1-Tablo2[[#This Row],[Başlangıç]])*24,(Tablo2[[#This Row],[Bitiş]]-Tablo2[[#This Row],[Başlangıç]])*24)))</f>
        <v>14.866666666755918</v>
      </c>
    </row>
    <row r="1077" spans="1:5" x14ac:dyDescent="0.3">
      <c r="A1077">
        <v>382</v>
      </c>
      <c r="B1077" t="s">
        <v>84</v>
      </c>
      <c r="C1077" s="1"/>
      <c r="D1077" s="1"/>
      <c r="E107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78" spans="1:5" x14ac:dyDescent="0.3">
      <c r="A1078">
        <v>382</v>
      </c>
      <c r="B1078" t="s">
        <v>179</v>
      </c>
      <c r="C1078" s="1">
        <v>44515.644444444442</v>
      </c>
      <c r="D1078" s="1">
        <v>44515.665277777778</v>
      </c>
      <c r="E107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79" spans="1:5" x14ac:dyDescent="0.3">
      <c r="A1079">
        <v>382</v>
      </c>
      <c r="B1079" t="s">
        <v>68</v>
      </c>
      <c r="C1079" s="1">
        <v>44519.916666666664</v>
      </c>
      <c r="D1079" s="1">
        <v>44521.247916666667</v>
      </c>
      <c r="E1079" s="17">
        <f>IF(Tablo2[[#This Row],[Başlangıç]]="","",(IF(Tablo2[[#This Row],[Bitiş]]="",($G$1-Tablo2[[#This Row],[Başlangıç]])*24,(Tablo2[[#This Row],[Bitiş]]-Tablo2[[#This Row],[Başlangıç]])*24)))</f>
        <v>31.950000000069849</v>
      </c>
    </row>
    <row r="1080" spans="1:5" x14ac:dyDescent="0.3">
      <c r="A1080">
        <v>382</v>
      </c>
      <c r="B1080" t="s">
        <v>37</v>
      </c>
      <c r="C1080" s="1">
        <v>44516.791666666664</v>
      </c>
      <c r="D1080" s="1">
        <v>44517.572916666664</v>
      </c>
      <c r="E1080" s="17">
        <f>IF(Tablo2[[#This Row],[Başlangıç]]="","",(IF(Tablo2[[#This Row],[Bitiş]]="",($G$1-Tablo2[[#This Row],[Başlangıç]])*24,(Tablo2[[#This Row],[Bitiş]]-Tablo2[[#This Row],[Başlangıç]])*24)))</f>
        <v>18.75</v>
      </c>
    </row>
    <row r="1081" spans="1:5" x14ac:dyDescent="0.3">
      <c r="A1081">
        <v>382</v>
      </c>
      <c r="B1081" t="s">
        <v>65</v>
      </c>
      <c r="C1081" s="1"/>
      <c r="D1081" s="1"/>
      <c r="E1081" s="17" t="str">
        <f>IF(Tablo2[[#This Row],[Başlangıç]]="","",(IF(Tablo2[[#This Row],[Bitiş]]="",($G$1-Tablo2[[#This Row],[Başlangıç]])*24,(Tablo2[[#This Row],[Bitiş]]-Tablo2[[#This Row],[Başlangıç]])*24)))</f>
        <v/>
      </c>
    </row>
    <row r="1082" spans="1:5" x14ac:dyDescent="0.3">
      <c r="A1082">
        <v>383</v>
      </c>
      <c r="B1082" t="s">
        <v>36</v>
      </c>
      <c r="C1082" s="1">
        <v>44516</v>
      </c>
      <c r="D1082" s="1">
        <v>44516.649305555555</v>
      </c>
      <c r="E1082" s="17">
        <f>IF(Tablo2[[#This Row],[Başlangıç]]="","",(IF(Tablo2[[#This Row],[Bitiş]]="",($G$1-Tablo2[[#This Row],[Başlangıç]])*24,(Tablo2[[#This Row],[Bitiş]]-Tablo2[[#This Row],[Başlangıç]])*24)))</f>
        <v>15.583333333313931</v>
      </c>
    </row>
    <row r="1083" spans="1:5" x14ac:dyDescent="0.3">
      <c r="A1083">
        <v>383</v>
      </c>
      <c r="B1083" t="s">
        <v>84</v>
      </c>
      <c r="C1083" s="1"/>
      <c r="D1083" s="1"/>
      <c r="E10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84" spans="1:5" x14ac:dyDescent="0.3">
      <c r="A1084">
        <v>383</v>
      </c>
      <c r="B1084" t="s">
        <v>179</v>
      </c>
      <c r="C1084" s="1">
        <v>44516</v>
      </c>
      <c r="D1084" s="1">
        <v>44516.020833333336</v>
      </c>
      <c r="E108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85" spans="1:5" x14ac:dyDescent="0.3">
      <c r="A1085">
        <v>383</v>
      </c>
      <c r="B1085" t="s">
        <v>68</v>
      </c>
      <c r="C1085" s="1"/>
      <c r="D1085" s="1"/>
      <c r="E10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86" spans="1:5" x14ac:dyDescent="0.3">
      <c r="A1086">
        <v>383</v>
      </c>
      <c r="B1086" t="s">
        <v>37</v>
      </c>
      <c r="C1086" s="1">
        <v>44517.013888888891</v>
      </c>
      <c r="D1086" s="1">
        <v>44518.8</v>
      </c>
      <c r="E1086" s="17">
        <f>IF(Tablo2[[#This Row],[Başlangıç]]="","",(IF(Tablo2[[#This Row],[Bitiş]]="",($G$1-Tablo2[[#This Row],[Başlangıç]])*24,(Tablo2[[#This Row],[Bitiş]]-Tablo2[[#This Row],[Başlangıç]])*24)))</f>
        <v>42.866666666697711</v>
      </c>
    </row>
    <row r="1087" spans="1:5" x14ac:dyDescent="0.3">
      <c r="A1087">
        <v>383</v>
      </c>
      <c r="B1087" t="s">
        <v>65</v>
      </c>
      <c r="C1087" s="1"/>
      <c r="D1087" s="1"/>
      <c r="E108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88" spans="1:5" x14ac:dyDescent="0.3">
      <c r="A1088">
        <v>384</v>
      </c>
      <c r="B1088" t="s">
        <v>36</v>
      </c>
      <c r="C1088" s="1">
        <v>44516.65347222222</v>
      </c>
      <c r="D1088" s="1">
        <v>44520.323611111111</v>
      </c>
      <c r="E1088" s="17">
        <f>IF(Tablo2[[#This Row],[Başlangıç]]="","",(IF(Tablo2[[#This Row],[Bitiş]]="",($G$1-Tablo2[[#This Row],[Başlangıç]])*24,(Tablo2[[#This Row],[Bitiş]]-Tablo2[[#This Row],[Başlangıç]])*24)))</f>
        <v>88.083333333372138</v>
      </c>
    </row>
    <row r="1089" spans="1:5" x14ac:dyDescent="0.3">
      <c r="A1089">
        <v>384</v>
      </c>
      <c r="B1089" t="s">
        <v>84</v>
      </c>
      <c r="C1089" s="1"/>
      <c r="D1089" s="1"/>
      <c r="E1089" s="17" t="str">
        <f>IF(Tablo2[[#This Row],[Başlangıç]]="","",(IF(Tablo2[[#This Row],[Bitiş]]="",($G$1-Tablo2[[#This Row],[Başlangıç]])*24,(Tablo2[[#This Row],[Bitiş]]-Tablo2[[#This Row],[Başlangıç]])*24)))</f>
        <v/>
      </c>
    </row>
    <row r="1090" spans="1:5" x14ac:dyDescent="0.3">
      <c r="A1090">
        <v>384</v>
      </c>
      <c r="B1090" t="s">
        <v>179</v>
      </c>
      <c r="C1090" s="1">
        <v>44516.65347222222</v>
      </c>
      <c r="D1090" s="1">
        <v>44516.674305555556</v>
      </c>
      <c r="E109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91" spans="1:5" x14ac:dyDescent="0.3">
      <c r="A1091">
        <v>384</v>
      </c>
      <c r="B1091" t="s">
        <v>68</v>
      </c>
      <c r="C1091" s="1">
        <v>44521.027777777781</v>
      </c>
      <c r="D1091" s="1">
        <v>44521.145833333336</v>
      </c>
      <c r="E1091" s="17">
        <f>IF(Tablo2[[#This Row],[Başlangıç]]="","",(IF(Tablo2[[#This Row],[Bitiş]]="",($G$1-Tablo2[[#This Row],[Başlangıç]])*24,(Tablo2[[#This Row],[Bitiş]]-Tablo2[[#This Row],[Başlangıç]])*24)))</f>
        <v>2.8333333333139308</v>
      </c>
    </row>
    <row r="1092" spans="1:5" x14ac:dyDescent="0.3">
      <c r="A1092">
        <v>384</v>
      </c>
      <c r="B1092" t="s">
        <v>37</v>
      </c>
      <c r="C1092" s="1">
        <v>44517.090277777781</v>
      </c>
      <c r="D1092" s="1">
        <v>44520.323611111111</v>
      </c>
      <c r="E1092" s="17">
        <f>IF(Tablo2[[#This Row],[Başlangıç]]="","",(IF(Tablo2[[#This Row],[Bitiş]]="",($G$1-Tablo2[[#This Row],[Başlangıç]])*24,(Tablo2[[#This Row],[Bitiş]]-Tablo2[[#This Row],[Başlangıç]])*24)))</f>
        <v>77.599999999918509</v>
      </c>
    </row>
    <row r="1093" spans="1:5" x14ac:dyDescent="0.3">
      <c r="A1093">
        <v>384</v>
      </c>
      <c r="B1093" t="s">
        <v>65</v>
      </c>
      <c r="C1093" s="1"/>
      <c r="D1093" s="1"/>
      <c r="E1093" s="17" t="str">
        <f>IF(Tablo2[[#This Row],[Başlangıç]]="","",(IF(Tablo2[[#This Row],[Bitiş]]="",($G$1-Tablo2[[#This Row],[Başlangıç]])*24,(Tablo2[[#This Row],[Bitiş]]-Tablo2[[#This Row],[Başlangıç]])*24)))</f>
        <v/>
      </c>
    </row>
    <row r="1094" spans="1:5" x14ac:dyDescent="0.3">
      <c r="A1094">
        <v>385</v>
      </c>
      <c r="B1094" t="s">
        <v>36</v>
      </c>
      <c r="C1094" s="1">
        <v>44516.990277777775</v>
      </c>
      <c r="D1094" s="1">
        <v>44517.645833333336</v>
      </c>
      <c r="E1094" s="17">
        <f>IF(Tablo2[[#This Row],[Başlangıç]]="","",(IF(Tablo2[[#This Row],[Bitiş]]="",($G$1-Tablo2[[#This Row],[Başlangıç]])*24,(Tablo2[[#This Row],[Bitiş]]-Tablo2[[#This Row],[Başlangıç]])*24)))</f>
        <v>15.733333333453629</v>
      </c>
    </row>
    <row r="1095" spans="1:5" x14ac:dyDescent="0.3">
      <c r="A1095">
        <v>385</v>
      </c>
      <c r="B1095" t="s">
        <v>84</v>
      </c>
      <c r="C1095" s="1"/>
      <c r="D1095" s="1"/>
      <c r="E1095" s="17" t="str">
        <f>IF(Tablo2[[#This Row],[Başlangıç]]="","",(IF(Tablo2[[#This Row],[Bitiş]]="",($G$1-Tablo2[[#This Row],[Başlangıç]])*24,(Tablo2[[#This Row],[Bitiş]]-Tablo2[[#This Row],[Başlangıç]])*24)))</f>
        <v/>
      </c>
    </row>
    <row r="1096" spans="1:5" x14ac:dyDescent="0.3">
      <c r="A1096">
        <v>385</v>
      </c>
      <c r="B1096" t="s">
        <v>179</v>
      </c>
      <c r="C1096" s="1">
        <v>44516.990277777775</v>
      </c>
      <c r="D1096" s="1">
        <v>44517.011111111111</v>
      </c>
      <c r="E109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097" spans="1:5" x14ac:dyDescent="0.3">
      <c r="A1097">
        <v>385</v>
      </c>
      <c r="B1097" t="s">
        <v>68</v>
      </c>
      <c r="C1097" s="1"/>
      <c r="D1097" s="1"/>
      <c r="E1097" s="17" t="str">
        <f>IF(Tablo2[[#This Row],[Başlangıç]]="","",(IF(Tablo2[[#This Row],[Bitiş]]="",($G$1-Tablo2[[#This Row],[Başlangıç]])*24,(Tablo2[[#This Row],[Bitiş]]-Tablo2[[#This Row],[Başlangıç]])*24)))</f>
        <v/>
      </c>
    </row>
    <row r="1098" spans="1:5" x14ac:dyDescent="0.3">
      <c r="A1098">
        <v>385</v>
      </c>
      <c r="B1098" t="s">
        <v>37</v>
      </c>
      <c r="C1098" s="1">
        <v>44517.722222222219</v>
      </c>
      <c r="D1098" s="1">
        <v>44518.6</v>
      </c>
      <c r="E1098" s="17">
        <f>IF(Tablo2[[#This Row],[Başlangıç]]="","",(IF(Tablo2[[#This Row],[Bitiş]]="",($G$1-Tablo2[[#This Row],[Başlangıç]])*24,(Tablo2[[#This Row],[Bitiş]]-Tablo2[[#This Row],[Başlangıç]])*24)))</f>
        <v>21.066666666709352</v>
      </c>
    </row>
    <row r="1099" spans="1:5" x14ac:dyDescent="0.3">
      <c r="A1099">
        <v>385</v>
      </c>
      <c r="B1099" t="s">
        <v>65</v>
      </c>
      <c r="C1099" s="1"/>
      <c r="D1099" s="1"/>
      <c r="E109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00" spans="1:5" x14ac:dyDescent="0.3">
      <c r="A1100">
        <v>386</v>
      </c>
      <c r="B1100" t="s">
        <v>36</v>
      </c>
      <c r="C1100" s="1">
        <v>44517.491666666669</v>
      </c>
      <c r="D1100" s="1"/>
      <c r="E1100" s="17">
        <f ca="1">IF(Tablo2[[#This Row],[Başlangıç]]="","",(IF(Tablo2[[#This Row],[Bitiş]]="",($G$1-Tablo2[[#This Row],[Başlangıç]])*24,(Tablo2[[#This Row],[Bitiş]]-Tablo2[[#This Row],[Başlangıç]])*24)))</f>
        <v>3804.1999999999534</v>
      </c>
    </row>
    <row r="1101" spans="1:5" x14ac:dyDescent="0.3">
      <c r="A1101">
        <v>386</v>
      </c>
      <c r="B1101" t="s">
        <v>84</v>
      </c>
      <c r="C1101" s="1"/>
      <c r="D1101" s="1"/>
      <c r="E110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02" spans="1:5" x14ac:dyDescent="0.3">
      <c r="A1102">
        <v>386</v>
      </c>
      <c r="B1102" t="s">
        <v>179</v>
      </c>
      <c r="C1102" s="1">
        <v>44517.491666666669</v>
      </c>
      <c r="D1102" s="1">
        <v>44517.512499999997</v>
      </c>
      <c r="E110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03" spans="1:5" x14ac:dyDescent="0.3">
      <c r="A1103">
        <v>386</v>
      </c>
      <c r="B1103" t="s">
        <v>68</v>
      </c>
      <c r="C1103" s="1">
        <v>44521.125</v>
      </c>
      <c r="D1103" s="1">
        <v>44521.166666666664</v>
      </c>
      <c r="E1103" s="17">
        <f>IF(Tablo2[[#This Row],[Başlangıç]]="","",(IF(Tablo2[[#This Row],[Bitiş]]="",($G$1-Tablo2[[#This Row],[Başlangıç]])*24,(Tablo2[[#This Row],[Bitiş]]-Tablo2[[#This Row],[Başlangıç]])*24)))</f>
        <v>0.99999999994179234</v>
      </c>
    </row>
    <row r="1104" spans="1:5" x14ac:dyDescent="0.3">
      <c r="A1104">
        <v>386</v>
      </c>
      <c r="B1104" t="s">
        <v>37</v>
      </c>
      <c r="C1104" s="1">
        <v>44519.104166666664</v>
      </c>
      <c r="D1104" s="1">
        <v>44520.888888888891</v>
      </c>
      <c r="E1104" s="17">
        <f>IF(Tablo2[[#This Row],[Başlangıç]]="","",(IF(Tablo2[[#This Row],[Bitiş]]="",($G$1-Tablo2[[#This Row],[Başlangıç]])*24,(Tablo2[[#This Row],[Bitiş]]-Tablo2[[#This Row],[Başlangıç]])*24)))</f>
        <v>42.833333333430346</v>
      </c>
    </row>
    <row r="1105" spans="1:5" x14ac:dyDescent="0.3">
      <c r="A1105">
        <v>386</v>
      </c>
      <c r="B1105" t="s">
        <v>65</v>
      </c>
      <c r="C1105" s="1"/>
      <c r="D1105" s="1"/>
      <c r="E11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06" spans="1:5" x14ac:dyDescent="0.3">
      <c r="A1106">
        <v>387</v>
      </c>
      <c r="B1106" t="s">
        <v>36</v>
      </c>
      <c r="C1106" s="1">
        <v>44517.85</v>
      </c>
      <c r="D1106" s="1"/>
      <c r="E1106" s="17">
        <f ca="1">IF(Tablo2[[#This Row],[Başlangıç]]="","",(IF(Tablo2[[#This Row],[Bitiş]]="",($G$1-Tablo2[[#This Row],[Başlangıç]])*24,(Tablo2[[#This Row],[Bitiş]]-Tablo2[[#This Row],[Başlangıç]])*24)))</f>
        <v>3795.6000000000349</v>
      </c>
    </row>
    <row r="1107" spans="1:5" x14ac:dyDescent="0.3">
      <c r="A1107">
        <v>387</v>
      </c>
      <c r="B1107" t="s">
        <v>84</v>
      </c>
      <c r="C1107" s="1"/>
      <c r="D1107" s="1"/>
      <c r="E110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08" spans="1:5" x14ac:dyDescent="0.3">
      <c r="A1108">
        <v>387</v>
      </c>
      <c r="B1108" t="s">
        <v>179</v>
      </c>
      <c r="C1108" s="1">
        <v>44517.85</v>
      </c>
      <c r="D1108" s="1">
        <v>44517.870833333334</v>
      </c>
      <c r="E110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09" spans="1:5" x14ac:dyDescent="0.3">
      <c r="A1109">
        <v>387</v>
      </c>
      <c r="B1109" t="s">
        <v>68</v>
      </c>
      <c r="C1109" s="1">
        <v>44522.25</v>
      </c>
      <c r="D1109" s="1">
        <v>44522.527777777781</v>
      </c>
      <c r="E1109" s="17">
        <f>IF(Tablo2[[#This Row],[Başlangıç]]="","",(IF(Tablo2[[#This Row],[Bitiş]]="",($G$1-Tablo2[[#This Row],[Başlangıç]])*24,(Tablo2[[#This Row],[Bitiş]]-Tablo2[[#This Row],[Başlangıç]])*24)))</f>
        <v>6.6666666667442769</v>
      </c>
    </row>
    <row r="1110" spans="1:5" x14ac:dyDescent="0.3">
      <c r="A1110">
        <v>387</v>
      </c>
      <c r="B1110" t="s">
        <v>37</v>
      </c>
      <c r="C1110" s="1">
        <v>44518.760416666664</v>
      </c>
      <c r="D1110" s="1">
        <v>44519.913194444445</v>
      </c>
      <c r="E1110" s="17">
        <f>IF(Tablo2[[#This Row],[Başlangıç]]="","",(IF(Tablo2[[#This Row],[Bitiş]]="",($G$1-Tablo2[[#This Row],[Başlangıç]])*24,(Tablo2[[#This Row],[Bitiş]]-Tablo2[[#This Row],[Başlangıç]])*24)))</f>
        <v>27.666666666744277</v>
      </c>
    </row>
    <row r="1111" spans="1:5" x14ac:dyDescent="0.3">
      <c r="A1111">
        <v>387</v>
      </c>
      <c r="B1111" t="s">
        <v>65</v>
      </c>
      <c r="C1111" s="1"/>
      <c r="D1111" s="1"/>
      <c r="E11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12" spans="1:5" x14ac:dyDescent="0.3">
      <c r="A1112">
        <v>388</v>
      </c>
      <c r="B1112" t="s">
        <v>36</v>
      </c>
      <c r="C1112" s="1">
        <v>44518.30972222222</v>
      </c>
      <c r="D1112" s="1">
        <v>44518.884027777778</v>
      </c>
      <c r="E1112" s="17">
        <f>IF(Tablo2[[#This Row],[Başlangıç]]="","",(IF(Tablo2[[#This Row],[Bitiş]]="",($G$1-Tablo2[[#This Row],[Başlangıç]])*24,(Tablo2[[#This Row],[Bitiş]]-Tablo2[[#This Row],[Başlangıç]])*24)))</f>
        <v>13.78333333338378</v>
      </c>
    </row>
    <row r="1113" spans="1:5" x14ac:dyDescent="0.3">
      <c r="A1113">
        <v>388</v>
      </c>
      <c r="B1113" t="s">
        <v>84</v>
      </c>
      <c r="C1113" s="1"/>
      <c r="D1113" s="1"/>
      <c r="E111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14" spans="1:5" x14ac:dyDescent="0.3">
      <c r="A1114">
        <v>388</v>
      </c>
      <c r="B1114" t="s">
        <v>179</v>
      </c>
      <c r="C1114" s="1">
        <v>44518.30972222222</v>
      </c>
      <c r="D1114" s="1">
        <v>44518.330555555556</v>
      </c>
      <c r="E11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15" spans="1:5" x14ac:dyDescent="0.3">
      <c r="A1115">
        <v>388</v>
      </c>
      <c r="B1115" t="s">
        <v>68</v>
      </c>
      <c r="C1115" s="1"/>
      <c r="D1115" s="1"/>
      <c r="E11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16" spans="1:5" x14ac:dyDescent="0.3">
      <c r="A1116">
        <v>388</v>
      </c>
      <c r="B1116" t="s">
        <v>37</v>
      </c>
      <c r="C1116" s="1">
        <v>44518.75</v>
      </c>
      <c r="D1116" s="1">
        <v>44521.001388888886</v>
      </c>
      <c r="E1116" s="17">
        <f>IF(Tablo2[[#This Row],[Başlangıç]]="","",(IF(Tablo2[[#This Row],[Bitiş]]="",($G$1-Tablo2[[#This Row],[Başlangıç]])*24,(Tablo2[[#This Row],[Bitiş]]-Tablo2[[#This Row],[Başlangıç]])*24)))</f>
        <v>54.033333333267365</v>
      </c>
    </row>
    <row r="1117" spans="1:5" x14ac:dyDescent="0.3">
      <c r="A1117">
        <v>388</v>
      </c>
      <c r="B1117" t="s">
        <v>65</v>
      </c>
      <c r="C1117" s="1">
        <v>44520.677083333336</v>
      </c>
      <c r="D1117" s="1">
        <v>44521.87222222222</v>
      </c>
      <c r="E1117" s="17">
        <f>IF(Tablo2[[#This Row],[Başlangıç]]="","",(IF(Tablo2[[#This Row],[Bitiş]]="",($G$1-Tablo2[[#This Row],[Başlangıç]])*24,(Tablo2[[#This Row],[Bitiş]]-Tablo2[[#This Row],[Başlangıç]])*24)))</f>
        <v>28.68333333323244</v>
      </c>
    </row>
    <row r="1118" spans="1:5" x14ac:dyDescent="0.3">
      <c r="A1118">
        <v>389</v>
      </c>
      <c r="B1118" t="s">
        <v>36</v>
      </c>
      <c r="C1118" s="1">
        <v>44518.708333333336</v>
      </c>
      <c r="D1118" s="1">
        <v>44520.552083333336</v>
      </c>
      <c r="E1118" s="17">
        <f>IF(Tablo2[[#This Row],[Başlangıç]]="","",(IF(Tablo2[[#This Row],[Bitiş]]="",($G$1-Tablo2[[#This Row],[Başlangıç]])*24,(Tablo2[[#This Row],[Bitiş]]-Tablo2[[#This Row],[Başlangıç]])*24)))</f>
        <v>44.25</v>
      </c>
    </row>
    <row r="1119" spans="1:5" x14ac:dyDescent="0.3">
      <c r="A1119">
        <v>389</v>
      </c>
      <c r="B1119" t="s">
        <v>84</v>
      </c>
      <c r="C1119" s="1"/>
      <c r="D1119" s="1"/>
      <c r="E111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20" spans="1:5" x14ac:dyDescent="0.3">
      <c r="A1120">
        <v>389</v>
      </c>
      <c r="B1120" t="s">
        <v>179</v>
      </c>
      <c r="C1120" s="1">
        <v>44518.708333333336</v>
      </c>
      <c r="D1120" s="1">
        <v>44518.729166666664</v>
      </c>
      <c r="E112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21" spans="1:5" x14ac:dyDescent="0.3">
      <c r="A1121">
        <v>389</v>
      </c>
      <c r="B1121" t="s">
        <v>68</v>
      </c>
      <c r="C1121" s="1"/>
      <c r="D1121" s="1"/>
      <c r="E11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22" spans="1:5" x14ac:dyDescent="0.3">
      <c r="A1122">
        <v>389</v>
      </c>
      <c r="B1122" t="s">
        <v>37</v>
      </c>
      <c r="C1122" s="1">
        <v>44519.395833333336</v>
      </c>
      <c r="D1122" s="1">
        <v>44520.552083333336</v>
      </c>
      <c r="E1122" s="17">
        <f>IF(Tablo2[[#This Row],[Başlangıç]]="","",(IF(Tablo2[[#This Row],[Bitiş]]="",($G$1-Tablo2[[#This Row],[Başlangıç]])*24,(Tablo2[[#This Row],[Bitiş]]-Tablo2[[#This Row],[Başlangıç]])*24)))</f>
        <v>27.75</v>
      </c>
    </row>
    <row r="1123" spans="1:5" x14ac:dyDescent="0.3">
      <c r="A1123">
        <v>389</v>
      </c>
      <c r="B1123" t="s">
        <v>65</v>
      </c>
      <c r="C1123" s="1">
        <v>44520.694444444445</v>
      </c>
      <c r="D1123" s="1">
        <v>44555.972222222219</v>
      </c>
      <c r="E1123" s="17">
        <f>IF(Tablo2[[#This Row],[Başlangıç]]="","",(IF(Tablo2[[#This Row],[Bitiş]]="",($G$1-Tablo2[[#This Row],[Başlangıç]])*24,(Tablo2[[#This Row],[Bitiş]]-Tablo2[[#This Row],[Başlangıç]])*24)))</f>
        <v>846.66666666656965</v>
      </c>
    </row>
    <row r="1124" spans="1:5" x14ac:dyDescent="0.3">
      <c r="A1124">
        <v>390</v>
      </c>
      <c r="B1124" t="s">
        <v>36</v>
      </c>
      <c r="C1124" s="1">
        <v>44519.000694444447</v>
      </c>
      <c r="D1124" s="1">
        <v>44520.28125</v>
      </c>
      <c r="E1124" s="17">
        <f>IF(Tablo2[[#This Row],[Başlangıç]]="","",(IF(Tablo2[[#This Row],[Bitiş]]="",($G$1-Tablo2[[#This Row],[Başlangıç]])*24,(Tablo2[[#This Row],[Bitiş]]-Tablo2[[#This Row],[Başlangıç]])*24)))</f>
        <v>30.733333333279006</v>
      </c>
    </row>
    <row r="1125" spans="1:5" x14ac:dyDescent="0.3">
      <c r="A1125">
        <v>390</v>
      </c>
      <c r="B1125" t="s">
        <v>84</v>
      </c>
      <c r="C1125" s="1"/>
      <c r="D1125" s="1"/>
      <c r="E112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26" spans="1:5" x14ac:dyDescent="0.3">
      <c r="A1126">
        <v>390</v>
      </c>
      <c r="B1126" t="s">
        <v>179</v>
      </c>
      <c r="C1126" s="1">
        <v>44519.000694444447</v>
      </c>
      <c r="D1126" s="1">
        <v>44519.021527777775</v>
      </c>
      <c r="E112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27" spans="1:5" x14ac:dyDescent="0.3">
      <c r="A1127">
        <v>390</v>
      </c>
      <c r="B1127" t="s">
        <v>68</v>
      </c>
      <c r="C1127" s="1">
        <v>44525.930555555555</v>
      </c>
      <c r="D1127" s="1">
        <v>44527.856249999997</v>
      </c>
      <c r="E1127" s="17">
        <f>IF(Tablo2[[#This Row],[Başlangıç]]="","",(IF(Tablo2[[#This Row],[Bitiş]]="",($G$1-Tablo2[[#This Row],[Başlangıç]])*24,(Tablo2[[#This Row],[Bitiş]]-Tablo2[[#This Row],[Başlangıç]])*24)))</f>
        <v>46.21666666661622</v>
      </c>
    </row>
    <row r="1128" spans="1:5" x14ac:dyDescent="0.3">
      <c r="A1128">
        <v>390</v>
      </c>
      <c r="B1128" t="s">
        <v>37</v>
      </c>
      <c r="C1128" s="1">
        <v>44519.736111111109</v>
      </c>
      <c r="D1128" s="1">
        <v>44524.930555555555</v>
      </c>
      <c r="E1128" s="17">
        <f>IF(Tablo2[[#This Row],[Başlangıç]]="","",(IF(Tablo2[[#This Row],[Bitiş]]="",($G$1-Tablo2[[#This Row],[Başlangıç]])*24,(Tablo2[[#This Row],[Bitiş]]-Tablo2[[#This Row],[Başlangıç]])*24)))</f>
        <v>124.66666666668607</v>
      </c>
    </row>
    <row r="1129" spans="1:5" x14ac:dyDescent="0.3">
      <c r="A1129">
        <v>390</v>
      </c>
      <c r="B1129" t="s">
        <v>65</v>
      </c>
      <c r="C1129" s="1"/>
      <c r="D1129" s="1"/>
      <c r="E112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30" spans="1:5" x14ac:dyDescent="0.3">
      <c r="A1130">
        <v>391</v>
      </c>
      <c r="B1130" t="s">
        <v>36</v>
      </c>
      <c r="C1130" s="1">
        <v>44519.284722222219</v>
      </c>
      <c r="D1130" s="1">
        <v>44519.902777777781</v>
      </c>
      <c r="E1130" s="17">
        <f>IF(Tablo2[[#This Row],[Başlangıç]]="","",(IF(Tablo2[[#This Row],[Bitiş]]="",($G$1-Tablo2[[#This Row],[Başlangıç]])*24,(Tablo2[[#This Row],[Bitiş]]-Tablo2[[#This Row],[Başlangıç]])*24)))</f>
        <v>14.833333333488554</v>
      </c>
    </row>
    <row r="1131" spans="1:5" x14ac:dyDescent="0.3">
      <c r="A1131">
        <v>391</v>
      </c>
      <c r="B1131" t="s">
        <v>84</v>
      </c>
      <c r="C1131" s="1"/>
      <c r="D1131" s="1"/>
      <c r="E113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32" spans="1:5" x14ac:dyDescent="0.3">
      <c r="A1132">
        <v>391</v>
      </c>
      <c r="B1132" t="s">
        <v>179</v>
      </c>
      <c r="C1132" s="1">
        <v>44519.284722222219</v>
      </c>
      <c r="D1132" s="1">
        <v>44519.305555555555</v>
      </c>
      <c r="E113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33" spans="1:5" x14ac:dyDescent="0.3">
      <c r="A1133">
        <v>391</v>
      </c>
      <c r="B1133" t="s">
        <v>68</v>
      </c>
      <c r="C1133" s="1">
        <v>44523.291666666664</v>
      </c>
      <c r="D1133" s="1">
        <v>44523.333333333336</v>
      </c>
      <c r="E1133" s="17">
        <f>IF(Tablo2[[#This Row],[Başlangıç]]="","",(IF(Tablo2[[#This Row],[Bitiş]]="",($G$1-Tablo2[[#This Row],[Başlangıç]])*24,(Tablo2[[#This Row],[Bitiş]]-Tablo2[[#This Row],[Başlangıç]])*24)))</f>
        <v>1.0000000001164153</v>
      </c>
    </row>
    <row r="1134" spans="1:5" x14ac:dyDescent="0.3">
      <c r="A1134">
        <v>391</v>
      </c>
      <c r="B1134" t="s">
        <v>37</v>
      </c>
      <c r="C1134" s="1">
        <v>44519.798611111109</v>
      </c>
      <c r="D1134" s="1">
        <v>44521.65625</v>
      </c>
      <c r="E1134" s="17">
        <f>IF(Tablo2[[#This Row],[Başlangıç]]="","",(IF(Tablo2[[#This Row],[Bitiş]]="",($G$1-Tablo2[[#This Row],[Başlangıç]])*24,(Tablo2[[#This Row],[Bitiş]]-Tablo2[[#This Row],[Başlangıç]])*24)))</f>
        <v>44.583333333372138</v>
      </c>
    </row>
    <row r="1135" spans="1:5" x14ac:dyDescent="0.3">
      <c r="A1135">
        <v>391</v>
      </c>
      <c r="B1135" t="s">
        <v>65</v>
      </c>
      <c r="C1135" s="1"/>
      <c r="D1135" s="1"/>
      <c r="E113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36" spans="1:5" x14ac:dyDescent="0.3">
      <c r="A1136">
        <v>392</v>
      </c>
      <c r="B1136" t="s">
        <v>36</v>
      </c>
      <c r="C1136" s="1">
        <v>44520.791666666664</v>
      </c>
      <c r="D1136" s="1">
        <v>44521.097222222219</v>
      </c>
      <c r="E1136" s="17">
        <f>IF(Tablo2[[#This Row],[Başlangıç]]="","",(IF(Tablo2[[#This Row],[Bitiş]]="",($G$1-Tablo2[[#This Row],[Başlangıç]])*24,(Tablo2[[#This Row],[Bitiş]]-Tablo2[[#This Row],[Başlangıç]])*24)))</f>
        <v>7.3333333333139308</v>
      </c>
    </row>
    <row r="1137" spans="1:5" x14ac:dyDescent="0.3">
      <c r="A1137">
        <v>392</v>
      </c>
      <c r="B1137" t="s">
        <v>84</v>
      </c>
      <c r="C1137" s="1"/>
      <c r="D1137" s="1"/>
      <c r="E113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38" spans="1:5" x14ac:dyDescent="0.3">
      <c r="A1138">
        <v>392</v>
      </c>
      <c r="B1138" t="s">
        <v>179</v>
      </c>
      <c r="C1138" s="1">
        <v>44520.791666666664</v>
      </c>
      <c r="D1138" s="1">
        <v>44520.8125</v>
      </c>
      <c r="E113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39" spans="1:5" x14ac:dyDescent="0.3">
      <c r="A1139">
        <v>392</v>
      </c>
      <c r="B1139" t="s">
        <v>68</v>
      </c>
      <c r="C1139" s="1">
        <v>44526.770833333336</v>
      </c>
      <c r="D1139" s="1">
        <v>44526.993055555555</v>
      </c>
      <c r="E1139" s="17">
        <f>IF(Tablo2[[#This Row],[Başlangıç]]="","",(IF(Tablo2[[#This Row],[Bitiş]]="",($G$1-Tablo2[[#This Row],[Başlangıç]])*24,(Tablo2[[#This Row],[Bitiş]]-Tablo2[[#This Row],[Başlangıç]])*24)))</f>
        <v>5.3333333332557231</v>
      </c>
    </row>
    <row r="1140" spans="1:5" x14ac:dyDescent="0.3">
      <c r="A1140">
        <v>392</v>
      </c>
      <c r="B1140" t="s">
        <v>37</v>
      </c>
      <c r="C1140" s="1">
        <v>44521.572916666664</v>
      </c>
      <c r="D1140" s="1">
        <v>44522.444444444445</v>
      </c>
      <c r="E1140" s="17">
        <f>IF(Tablo2[[#This Row],[Başlangıç]]="","",(IF(Tablo2[[#This Row],[Bitiş]]="",($G$1-Tablo2[[#This Row],[Başlangıç]])*24,(Tablo2[[#This Row],[Bitiş]]-Tablo2[[#This Row],[Başlangıç]])*24)))</f>
        <v>20.916666666744277</v>
      </c>
    </row>
    <row r="1141" spans="1:5" x14ac:dyDescent="0.3">
      <c r="A1141">
        <v>392</v>
      </c>
      <c r="B1141" t="s">
        <v>65</v>
      </c>
      <c r="C1141" s="1"/>
      <c r="D1141" s="1"/>
      <c r="E114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42" spans="1:5" x14ac:dyDescent="0.3">
      <c r="A1142">
        <v>393</v>
      </c>
      <c r="B1142" t="s">
        <v>36</v>
      </c>
      <c r="C1142" s="1">
        <v>44520.833333333336</v>
      </c>
      <c r="D1142" s="1"/>
      <c r="E1142" s="17">
        <f ca="1">IF(Tablo2[[#This Row],[Başlangıç]]="","",(IF(Tablo2[[#This Row],[Bitiş]]="",($G$1-Tablo2[[#This Row],[Başlangıç]])*24,(Tablo2[[#This Row],[Bitiş]]-Tablo2[[#This Row],[Başlangıç]])*24)))</f>
        <v>3723.9999999999418</v>
      </c>
    </row>
    <row r="1143" spans="1:5" x14ac:dyDescent="0.3">
      <c r="A1143">
        <v>393</v>
      </c>
      <c r="B1143" t="s">
        <v>84</v>
      </c>
      <c r="C1143" s="1"/>
      <c r="D1143" s="1"/>
      <c r="E114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44" spans="1:5" x14ac:dyDescent="0.3">
      <c r="A1144">
        <v>393</v>
      </c>
      <c r="B1144" t="s">
        <v>179</v>
      </c>
      <c r="C1144" s="1">
        <v>44520.833333333336</v>
      </c>
      <c r="D1144" s="1">
        <v>44520.854166666664</v>
      </c>
      <c r="E114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45" spans="1:5" x14ac:dyDescent="0.3">
      <c r="A1145">
        <v>393</v>
      </c>
      <c r="B1145" t="s">
        <v>68</v>
      </c>
      <c r="C1145" s="1"/>
      <c r="D1145" s="1"/>
      <c r="E114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46" spans="1:5" x14ac:dyDescent="0.3">
      <c r="A1146">
        <v>393</v>
      </c>
      <c r="B1146" t="s">
        <v>37</v>
      </c>
      <c r="C1146" s="1">
        <v>44521.006944444445</v>
      </c>
      <c r="D1146" s="1">
        <v>44540.996527777781</v>
      </c>
      <c r="E1146" s="17">
        <f>IF(Tablo2[[#This Row],[Başlangıç]]="","",(IF(Tablo2[[#This Row],[Bitiş]]="",($G$1-Tablo2[[#This Row],[Başlangıç]])*24,(Tablo2[[#This Row],[Bitiş]]-Tablo2[[#This Row],[Başlangıç]])*24)))</f>
        <v>479.75000000005821</v>
      </c>
    </row>
    <row r="1147" spans="1:5" x14ac:dyDescent="0.3">
      <c r="A1147">
        <v>393</v>
      </c>
      <c r="B1147" t="s">
        <v>65</v>
      </c>
      <c r="C1147" s="1"/>
      <c r="D1147" s="1"/>
      <c r="E114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48" spans="1:5" x14ac:dyDescent="0.3">
      <c r="A1148">
        <v>394</v>
      </c>
      <c r="B1148" t="s">
        <v>36</v>
      </c>
      <c r="C1148" s="1">
        <v>44522.552083333336</v>
      </c>
      <c r="D1148" s="1"/>
      <c r="E1148" s="17">
        <f ca="1">IF(Tablo2[[#This Row],[Başlangıç]]="","",(IF(Tablo2[[#This Row],[Bitiş]]="",($G$1-Tablo2[[#This Row],[Başlangıç]])*24,(Tablo2[[#This Row],[Bitiş]]-Tablo2[[#This Row],[Başlangıç]])*24)))</f>
        <v>3682.7499999999418</v>
      </c>
    </row>
    <row r="1149" spans="1:5" x14ac:dyDescent="0.3">
      <c r="A1149">
        <v>394</v>
      </c>
      <c r="B1149" t="s">
        <v>84</v>
      </c>
      <c r="C1149" s="1"/>
      <c r="D1149" s="1"/>
      <c r="E114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50" spans="1:5" x14ac:dyDescent="0.3">
      <c r="A1150">
        <v>394</v>
      </c>
      <c r="B1150" t="s">
        <v>179</v>
      </c>
      <c r="C1150" s="1">
        <v>44522.552083333336</v>
      </c>
      <c r="D1150" s="1">
        <v>44522.572916666664</v>
      </c>
      <c r="E115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51" spans="1:5" x14ac:dyDescent="0.3">
      <c r="A1151">
        <v>394</v>
      </c>
      <c r="B1151" t="s">
        <v>68</v>
      </c>
      <c r="C1151" s="1">
        <v>44526.625</v>
      </c>
      <c r="D1151" s="1">
        <v>44526.833333333336</v>
      </c>
      <c r="E1151" s="17">
        <f>IF(Tablo2[[#This Row],[Başlangıç]]="","",(IF(Tablo2[[#This Row],[Bitiş]]="",($G$1-Tablo2[[#This Row],[Başlangıç]])*24,(Tablo2[[#This Row],[Bitiş]]-Tablo2[[#This Row],[Başlangıç]])*24)))</f>
        <v>5.0000000000582077</v>
      </c>
    </row>
    <row r="1152" spans="1:5" x14ac:dyDescent="0.3">
      <c r="A1152">
        <v>394</v>
      </c>
      <c r="B1152" t="s">
        <v>37</v>
      </c>
      <c r="C1152" s="1">
        <v>44522.40625</v>
      </c>
      <c r="D1152" s="1">
        <v>44525.416666666664</v>
      </c>
      <c r="E1152" s="17">
        <f>IF(Tablo2[[#This Row],[Başlangıç]]="","",(IF(Tablo2[[#This Row],[Bitiş]]="",($G$1-Tablo2[[#This Row],[Başlangıç]])*24,(Tablo2[[#This Row],[Bitiş]]-Tablo2[[#This Row],[Başlangıç]])*24)))</f>
        <v>72.249999999941792</v>
      </c>
    </row>
    <row r="1153" spans="1:5" x14ac:dyDescent="0.3">
      <c r="A1153">
        <v>394</v>
      </c>
      <c r="B1153" t="s">
        <v>65</v>
      </c>
      <c r="C1153" s="1"/>
      <c r="D1153" s="1"/>
      <c r="E11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54" spans="1:5" x14ac:dyDescent="0.3">
      <c r="A1154">
        <v>395</v>
      </c>
      <c r="B1154" t="s">
        <v>36</v>
      </c>
      <c r="C1154" s="1">
        <v>44521.416666666664</v>
      </c>
      <c r="D1154" s="1"/>
      <c r="E1154" s="17">
        <f ca="1">IF(Tablo2[[#This Row],[Başlangıç]]="","",(IF(Tablo2[[#This Row],[Bitiş]]="",($G$1-Tablo2[[#This Row],[Başlangıç]])*24,(Tablo2[[#This Row],[Bitiş]]-Tablo2[[#This Row],[Başlangıç]])*24)))</f>
        <v>3710.0000000000582</v>
      </c>
    </row>
    <row r="1155" spans="1:5" x14ac:dyDescent="0.3">
      <c r="A1155">
        <v>395</v>
      </c>
      <c r="B1155" t="s">
        <v>84</v>
      </c>
      <c r="C1155" s="1"/>
      <c r="D1155" s="1"/>
      <c r="E115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56" spans="1:5" x14ac:dyDescent="0.3">
      <c r="A1156">
        <v>395</v>
      </c>
      <c r="B1156" t="s">
        <v>179</v>
      </c>
      <c r="C1156" s="1">
        <v>44521.416666666664</v>
      </c>
      <c r="D1156" s="1">
        <v>44521.4375</v>
      </c>
      <c r="E11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57" spans="1:5" x14ac:dyDescent="0.3">
      <c r="A1157">
        <v>395</v>
      </c>
      <c r="B1157" t="s">
        <v>68</v>
      </c>
      <c r="C1157" s="1"/>
      <c r="D1157" s="1"/>
      <c r="E115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58" spans="1:5" x14ac:dyDescent="0.3">
      <c r="A1158">
        <v>395</v>
      </c>
      <c r="B1158" t="s">
        <v>37</v>
      </c>
      <c r="C1158" s="1">
        <v>44524.104166666664</v>
      </c>
      <c r="D1158" s="1">
        <v>44525.826388888891</v>
      </c>
      <c r="E1158" s="17">
        <f>IF(Tablo2[[#This Row],[Başlangıç]]="","",(IF(Tablo2[[#This Row],[Bitiş]]="",($G$1-Tablo2[[#This Row],[Başlangıç]])*24,(Tablo2[[#This Row],[Bitiş]]-Tablo2[[#This Row],[Başlangıç]])*24)))</f>
        <v>41.333333333430346</v>
      </c>
    </row>
    <row r="1159" spans="1:5" x14ac:dyDescent="0.3">
      <c r="A1159">
        <v>395</v>
      </c>
      <c r="B1159" t="s">
        <v>65</v>
      </c>
      <c r="C1159" s="1"/>
      <c r="D1159" s="1"/>
      <c r="E115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60" spans="1:5" x14ac:dyDescent="0.3">
      <c r="A1160">
        <v>396</v>
      </c>
      <c r="B1160" t="s">
        <v>36</v>
      </c>
      <c r="C1160" s="1">
        <v>44522.416666666664</v>
      </c>
      <c r="D1160" s="1">
        <v>44522.979166666664</v>
      </c>
      <c r="E1160" s="17">
        <f>IF(Tablo2[[#This Row],[Başlangıç]]="","",(IF(Tablo2[[#This Row],[Bitiş]]="",($G$1-Tablo2[[#This Row],[Başlangıç]])*24,(Tablo2[[#This Row],[Bitiş]]-Tablo2[[#This Row],[Başlangıç]])*24)))</f>
        <v>13.5</v>
      </c>
    </row>
    <row r="1161" spans="1:5" x14ac:dyDescent="0.3">
      <c r="A1161">
        <v>396</v>
      </c>
      <c r="B1161" t="s">
        <v>84</v>
      </c>
      <c r="C1161" s="1"/>
      <c r="D1161" s="1"/>
      <c r="E116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62" spans="1:5" x14ac:dyDescent="0.3">
      <c r="A1162">
        <v>396</v>
      </c>
      <c r="B1162" t="s">
        <v>179</v>
      </c>
      <c r="C1162" s="1">
        <v>44522.416666666664</v>
      </c>
      <c r="D1162" s="1">
        <v>44522.4375</v>
      </c>
      <c r="E116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63" spans="1:5" x14ac:dyDescent="0.3">
      <c r="A1163">
        <v>396</v>
      </c>
      <c r="B1163" t="s">
        <v>68</v>
      </c>
      <c r="C1163" s="1">
        <v>44526.166666666664</v>
      </c>
      <c r="D1163" s="1">
        <v>44526.316666666666</v>
      </c>
      <c r="E1163" s="17">
        <f>IF(Tablo2[[#This Row],[Başlangıç]]="","",(IF(Tablo2[[#This Row],[Bitiş]]="",($G$1-Tablo2[[#This Row],[Başlangıç]])*24,(Tablo2[[#This Row],[Bitiş]]-Tablo2[[#This Row],[Başlangıç]])*24)))</f>
        <v>3.6000000000349246</v>
      </c>
    </row>
    <row r="1164" spans="1:5" x14ac:dyDescent="0.3">
      <c r="A1164">
        <v>396</v>
      </c>
      <c r="B1164" t="s">
        <v>37</v>
      </c>
      <c r="C1164" s="1">
        <v>44523.006944444445</v>
      </c>
      <c r="D1164" s="1">
        <v>44521.87222222222</v>
      </c>
      <c r="E1164" s="17">
        <f>IF(Tablo2[[#This Row],[Başlangıç]]="","",(IF(Tablo2[[#This Row],[Bitiş]]="",($G$1-Tablo2[[#This Row],[Başlangıç]])*24,(Tablo2[[#This Row],[Bitiş]]-Tablo2[[#This Row],[Başlangıç]])*24)))</f>
        <v>-27.233333333395422</v>
      </c>
    </row>
    <row r="1165" spans="1:5" x14ac:dyDescent="0.3">
      <c r="A1165">
        <v>396</v>
      </c>
      <c r="B1165" t="s">
        <v>65</v>
      </c>
      <c r="C1165" s="1"/>
      <c r="D1165" s="1"/>
      <c r="E116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66" spans="1:5" x14ac:dyDescent="0.3">
      <c r="A1166">
        <v>397</v>
      </c>
      <c r="B1166" t="s">
        <v>36</v>
      </c>
      <c r="C1166" s="1">
        <v>44523.25</v>
      </c>
      <c r="D1166" s="1"/>
      <c r="E1166" s="17">
        <f ca="1">IF(Tablo2[[#This Row],[Başlangıç]]="","",(IF(Tablo2[[#This Row],[Bitiş]]="",($G$1-Tablo2[[#This Row],[Başlangıç]])*24,(Tablo2[[#This Row],[Bitiş]]-Tablo2[[#This Row],[Başlangıç]])*24)))</f>
        <v>3666</v>
      </c>
    </row>
    <row r="1167" spans="1:5" x14ac:dyDescent="0.3">
      <c r="A1167">
        <v>397</v>
      </c>
      <c r="B1167" t="s">
        <v>84</v>
      </c>
      <c r="C1167" s="1"/>
      <c r="D1167" s="1"/>
      <c r="E116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68" spans="1:5" x14ac:dyDescent="0.3">
      <c r="A1168">
        <v>397</v>
      </c>
      <c r="B1168" t="s">
        <v>179</v>
      </c>
      <c r="C1168" s="1">
        <v>44523.25</v>
      </c>
      <c r="D1168" s="1">
        <v>44523.270833333336</v>
      </c>
      <c r="E116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69" spans="1:5" x14ac:dyDescent="0.3">
      <c r="A1169">
        <v>397</v>
      </c>
      <c r="B1169" t="s">
        <v>68</v>
      </c>
      <c r="C1169" s="1">
        <v>44526.75</v>
      </c>
      <c r="D1169" s="1">
        <v>44527.313888888886</v>
      </c>
      <c r="E1169" s="17">
        <f>IF(Tablo2[[#This Row],[Başlangıç]]="","",(IF(Tablo2[[#This Row],[Bitiş]]="",($G$1-Tablo2[[#This Row],[Başlangıç]])*24,(Tablo2[[#This Row],[Bitiş]]-Tablo2[[#This Row],[Başlangıç]])*24)))</f>
        <v>13.533333333267365</v>
      </c>
    </row>
    <row r="1170" spans="1:5" x14ac:dyDescent="0.3">
      <c r="A1170">
        <v>397</v>
      </c>
      <c r="B1170" t="s">
        <v>37</v>
      </c>
      <c r="C1170" s="1">
        <v>44526.451388888891</v>
      </c>
      <c r="D1170" s="1">
        <v>44526.493055555555</v>
      </c>
      <c r="E1170" s="17">
        <f>IF(Tablo2[[#This Row],[Başlangıç]]="","",(IF(Tablo2[[#This Row],[Bitiş]]="",($G$1-Tablo2[[#This Row],[Başlangıç]])*24,(Tablo2[[#This Row],[Bitiş]]-Tablo2[[#This Row],[Başlangıç]])*24)))</f>
        <v>0.99999999994179234</v>
      </c>
    </row>
    <row r="1171" spans="1:5" x14ac:dyDescent="0.3">
      <c r="A1171">
        <v>397</v>
      </c>
      <c r="B1171" t="s">
        <v>65</v>
      </c>
      <c r="C1171" s="1"/>
      <c r="D1171" s="1"/>
      <c r="E117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72" spans="1:5" x14ac:dyDescent="0.3">
      <c r="A1172">
        <v>398</v>
      </c>
      <c r="B1172" t="s">
        <v>36</v>
      </c>
      <c r="C1172" s="1">
        <v>44522.841666666667</v>
      </c>
      <c r="D1172" s="1"/>
      <c r="E1172" s="17">
        <f ca="1">IF(Tablo2[[#This Row],[Başlangıç]]="","",(IF(Tablo2[[#This Row],[Bitiş]]="",($G$1-Tablo2[[#This Row],[Başlangıç]])*24,(Tablo2[[#This Row],[Bitiş]]-Tablo2[[#This Row],[Başlangıç]])*24)))</f>
        <v>3675.7999999999884</v>
      </c>
    </row>
    <row r="1173" spans="1:5" x14ac:dyDescent="0.3">
      <c r="A1173">
        <v>398</v>
      </c>
      <c r="B1173" t="s">
        <v>84</v>
      </c>
      <c r="C1173" s="1"/>
      <c r="D1173" s="1"/>
      <c r="E117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74" spans="1:5" x14ac:dyDescent="0.3">
      <c r="A1174">
        <v>398</v>
      </c>
      <c r="B1174" t="s">
        <v>179</v>
      </c>
      <c r="C1174" s="1">
        <v>44522.841666666667</v>
      </c>
      <c r="D1174" s="1">
        <v>44522.862500000003</v>
      </c>
      <c r="E11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75" spans="1:5" x14ac:dyDescent="0.3">
      <c r="A1175">
        <v>398</v>
      </c>
      <c r="B1175" t="s">
        <v>68</v>
      </c>
      <c r="C1175" s="1"/>
      <c r="D1175" s="1"/>
      <c r="E117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76" spans="1:5" x14ac:dyDescent="0.3">
      <c r="A1176">
        <v>398</v>
      </c>
      <c r="B1176" t="s">
        <v>37</v>
      </c>
      <c r="C1176" s="1">
        <v>44525.618055555555</v>
      </c>
      <c r="D1176" s="1">
        <v>44526.822916666664</v>
      </c>
      <c r="E1176" s="17">
        <f>IF(Tablo2[[#This Row],[Başlangıç]]="","",(IF(Tablo2[[#This Row],[Bitiş]]="",($G$1-Tablo2[[#This Row],[Başlangıç]])*24,(Tablo2[[#This Row],[Bitiş]]-Tablo2[[#This Row],[Başlangıç]])*24)))</f>
        <v>28.916666666627862</v>
      </c>
    </row>
    <row r="1177" spans="1:5" x14ac:dyDescent="0.3">
      <c r="A1177">
        <v>398</v>
      </c>
      <c r="B1177" t="s">
        <v>65</v>
      </c>
      <c r="C1177" s="1"/>
      <c r="D1177" s="1"/>
      <c r="E117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78" spans="1:5" x14ac:dyDescent="0.3">
      <c r="A1178">
        <v>399</v>
      </c>
      <c r="B1178" t="s">
        <v>36</v>
      </c>
      <c r="C1178" s="1">
        <v>44523.75277777778</v>
      </c>
      <c r="D1178" s="1"/>
      <c r="E1178" s="17">
        <f ca="1">IF(Tablo2[[#This Row],[Başlangıç]]="","",(IF(Tablo2[[#This Row],[Bitiş]]="",($G$1-Tablo2[[#This Row],[Başlangıç]])*24,(Tablo2[[#This Row],[Bitiş]]-Tablo2[[#This Row],[Başlangıç]])*24)))</f>
        <v>3653.9333333332906</v>
      </c>
    </row>
    <row r="1179" spans="1:5" x14ac:dyDescent="0.3">
      <c r="A1179">
        <v>399</v>
      </c>
      <c r="B1179" t="s">
        <v>84</v>
      </c>
      <c r="C1179" s="1"/>
      <c r="D1179" s="1"/>
      <c r="E117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0" spans="1:5" x14ac:dyDescent="0.3">
      <c r="A1180">
        <v>399</v>
      </c>
      <c r="B1180" t="s">
        <v>179</v>
      </c>
      <c r="C1180" s="1">
        <v>44523.75277777778</v>
      </c>
      <c r="D1180" s="1">
        <v>44523.773611111108</v>
      </c>
      <c r="E118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81" spans="1:5" x14ac:dyDescent="0.3">
      <c r="A1181">
        <v>399</v>
      </c>
      <c r="B1181" t="s">
        <v>68</v>
      </c>
      <c r="C1181" s="1"/>
      <c r="D1181" s="1"/>
      <c r="E1181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2" spans="1:5" x14ac:dyDescent="0.3">
      <c r="A1182">
        <v>399</v>
      </c>
      <c r="B1182" t="s">
        <v>37</v>
      </c>
      <c r="C1182" s="1">
        <v>44524.53125</v>
      </c>
      <c r="D1182" s="1">
        <v>44528.395833333336</v>
      </c>
      <c r="E1182" s="17">
        <f>IF(Tablo2[[#This Row],[Başlangıç]]="","",(IF(Tablo2[[#This Row],[Bitiş]]="",($G$1-Tablo2[[#This Row],[Başlangıç]])*24,(Tablo2[[#This Row],[Bitiş]]-Tablo2[[#This Row],[Başlangıç]])*24)))</f>
        <v>92.750000000058208</v>
      </c>
    </row>
    <row r="1183" spans="1:5" x14ac:dyDescent="0.3">
      <c r="A1183">
        <v>399</v>
      </c>
      <c r="B1183" t="s">
        <v>65</v>
      </c>
      <c r="C1183" s="1"/>
      <c r="D1183" s="1"/>
      <c r="E11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4" spans="1:5" x14ac:dyDescent="0.3">
      <c r="A1184">
        <v>400</v>
      </c>
      <c r="B1184" t="s">
        <v>36</v>
      </c>
      <c r="C1184" s="1">
        <v>44523.963888888888</v>
      </c>
      <c r="D1184" s="1"/>
      <c r="E1184" s="17">
        <f ca="1">IF(Tablo2[[#This Row],[Başlangıç]]="","",(IF(Tablo2[[#This Row],[Bitiş]]="",($G$1-Tablo2[[#This Row],[Başlangıç]])*24,(Tablo2[[#This Row],[Bitiş]]-Tablo2[[#This Row],[Başlangıç]])*24)))</f>
        <v>3648.8666666666977</v>
      </c>
    </row>
    <row r="1185" spans="1:5" x14ac:dyDescent="0.3">
      <c r="A1185">
        <v>400</v>
      </c>
      <c r="B1185" t="s">
        <v>84</v>
      </c>
      <c r="C1185" s="1"/>
      <c r="D1185" s="1"/>
      <c r="E11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6" spans="1:5" x14ac:dyDescent="0.3">
      <c r="A1186">
        <v>400</v>
      </c>
      <c r="B1186" t="s">
        <v>179</v>
      </c>
      <c r="C1186" s="1">
        <v>44523.963888888888</v>
      </c>
      <c r="D1186" s="1">
        <v>44523.984722222223</v>
      </c>
      <c r="E118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87" spans="1:5" x14ac:dyDescent="0.3">
      <c r="A1187">
        <v>400</v>
      </c>
      <c r="B1187" t="s">
        <v>68</v>
      </c>
      <c r="C1187" s="1"/>
      <c r="D1187" s="1"/>
      <c r="E118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88" spans="1:5" x14ac:dyDescent="0.3">
      <c r="A1188">
        <v>400</v>
      </c>
      <c r="B1188" t="s">
        <v>37</v>
      </c>
      <c r="C1188" s="1">
        <v>44524.701388888891</v>
      </c>
      <c r="D1188" s="1">
        <v>44526.6</v>
      </c>
      <c r="E1188" s="17">
        <f>IF(Tablo2[[#This Row],[Başlangıç]]="","",(IF(Tablo2[[#This Row],[Bitiş]]="",($G$1-Tablo2[[#This Row],[Başlangıç]])*24,(Tablo2[[#This Row],[Bitiş]]-Tablo2[[#This Row],[Başlangıç]])*24)))</f>
        <v>45.566666666592937</v>
      </c>
    </row>
    <row r="1189" spans="1:5" x14ac:dyDescent="0.3">
      <c r="A1189">
        <v>400</v>
      </c>
      <c r="B1189" t="s">
        <v>65</v>
      </c>
      <c r="C1189" s="1"/>
      <c r="D1189" s="1"/>
      <c r="E1189" s="17" t="str">
        <f>IF(Tablo2[[#This Row],[Başlangıç]]="","",(IF(Tablo2[[#This Row],[Bitiş]]="",($G$1-Tablo2[[#This Row],[Başlangıç]])*24,(Tablo2[[#This Row],[Bitiş]]-Tablo2[[#This Row],[Başlangıç]])*24)))</f>
        <v/>
      </c>
    </row>
    <row r="1190" spans="1:5" x14ac:dyDescent="0.3">
      <c r="A1190">
        <v>401</v>
      </c>
      <c r="B1190" t="s">
        <v>36</v>
      </c>
      <c r="C1190" s="1">
        <v>44524.302083333336</v>
      </c>
      <c r="D1190" s="1">
        <v>44524.870138888888</v>
      </c>
      <c r="E1190" s="17">
        <f>IF(Tablo2[[#This Row],[Başlangıç]]="","",(IF(Tablo2[[#This Row],[Bitiş]]="",($G$1-Tablo2[[#This Row],[Başlangıç]])*24,(Tablo2[[#This Row],[Bitiş]]-Tablo2[[#This Row],[Başlangıç]])*24)))</f>
        <v>13.633333333244082</v>
      </c>
    </row>
    <row r="1191" spans="1:5" x14ac:dyDescent="0.3">
      <c r="A1191">
        <v>401</v>
      </c>
      <c r="B1191" t="s">
        <v>84</v>
      </c>
      <c r="C1191" s="1">
        <v>44528.395833333336</v>
      </c>
      <c r="D1191" s="1">
        <v>44529</v>
      </c>
      <c r="E1191" s="17">
        <f>IF(Tablo2[[#This Row],[Başlangıç]]="","",(IF(Tablo2[[#This Row],[Bitiş]]="",($G$1-Tablo2[[#This Row],[Başlangıç]])*24,(Tablo2[[#This Row],[Bitiş]]-Tablo2[[#This Row],[Başlangıç]])*24)))</f>
        <v>14.499999999941792</v>
      </c>
    </row>
    <row r="1192" spans="1:5" x14ac:dyDescent="0.3">
      <c r="A1192">
        <v>401</v>
      </c>
      <c r="B1192" t="s">
        <v>179</v>
      </c>
      <c r="C1192" s="1">
        <v>44524.302083333336</v>
      </c>
      <c r="D1192" s="1">
        <v>44524.322916666664</v>
      </c>
      <c r="E119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193" spans="1:5" x14ac:dyDescent="0.3">
      <c r="A1193">
        <v>401</v>
      </c>
      <c r="B1193" t="s">
        <v>68</v>
      </c>
      <c r="C1193" s="1"/>
      <c r="D1193" s="1"/>
      <c r="E1193" s="17" t="str">
        <f>IF(Tablo2[[#This Row],[Başlangıç]]="","",(IF(Tablo2[[#This Row],[Bitiş]]="",($G$1-Tablo2[[#This Row],[Başlangıç]])*24,(Tablo2[[#This Row],[Bitiş]]-Tablo2[[#This Row],[Başlangıç]])*24)))</f>
        <v/>
      </c>
    </row>
    <row r="1194" spans="1:5" x14ac:dyDescent="0.3">
      <c r="A1194">
        <v>401</v>
      </c>
      <c r="B1194" t="s">
        <v>37</v>
      </c>
      <c r="C1194" s="1">
        <v>44524.881944444445</v>
      </c>
      <c r="D1194" s="1">
        <v>44526.395833333336</v>
      </c>
      <c r="E1194" s="17">
        <f>IF(Tablo2[[#This Row],[Başlangıç]]="","",(IF(Tablo2[[#This Row],[Bitiş]]="",($G$1-Tablo2[[#This Row],[Başlangıç]])*24,(Tablo2[[#This Row],[Bitiş]]-Tablo2[[#This Row],[Başlangıç]])*24)))</f>
        <v>36.333333333372138</v>
      </c>
    </row>
    <row r="1195" spans="1:5" x14ac:dyDescent="0.3">
      <c r="A1195">
        <v>401</v>
      </c>
      <c r="B1195" t="s">
        <v>65</v>
      </c>
      <c r="C1195" s="1">
        <v>44528.291666666664</v>
      </c>
      <c r="D1195" s="1">
        <v>44528.354166666664</v>
      </c>
      <c r="E1195" s="17">
        <f>IF(Tablo2[[#This Row],[Başlangıç]]="","",(IF(Tablo2[[#This Row],[Bitiş]]="",($G$1-Tablo2[[#This Row],[Başlangıç]])*24,(Tablo2[[#This Row],[Bitiş]]-Tablo2[[#This Row],[Başlangıç]])*24)))</f>
        <v>1.5</v>
      </c>
    </row>
    <row r="1196" spans="1:5" x14ac:dyDescent="0.3">
      <c r="A1196">
        <v>402</v>
      </c>
      <c r="B1196" t="s">
        <v>36</v>
      </c>
      <c r="C1196" s="1">
        <v>44524.84375</v>
      </c>
      <c r="D1196" s="1"/>
      <c r="E1196" s="17">
        <f ca="1">IF(Tablo2[[#This Row],[Başlangıç]]="","",(IF(Tablo2[[#This Row],[Bitiş]]="",($G$1-Tablo2[[#This Row],[Başlangıç]])*24,(Tablo2[[#This Row],[Bitiş]]-Tablo2[[#This Row],[Başlangıç]])*24)))</f>
        <v>3627.75</v>
      </c>
    </row>
    <row r="1197" spans="1:5" x14ac:dyDescent="0.3">
      <c r="A1197">
        <v>402</v>
      </c>
      <c r="B1197" t="s">
        <v>84</v>
      </c>
      <c r="C1197" s="1"/>
      <c r="D1197" s="1"/>
      <c r="E1197" s="17" t="str">
        <f>IF(Tablo2[[#This Row],[Başlangıç]]="","",(IF(Tablo2[[#This Row],[Bitiş]]="",($G$1-Tablo2[[#This Row],[Başlangıç]])*24,(Tablo2[[#This Row],[Bitiş]]-Tablo2[[#This Row],[Başlangıç]])*24)))</f>
        <v/>
      </c>
    </row>
    <row r="1198" spans="1:5" x14ac:dyDescent="0.3">
      <c r="A1198">
        <v>402</v>
      </c>
      <c r="B1198" t="s">
        <v>179</v>
      </c>
      <c r="C1198" s="1">
        <v>44524.84375</v>
      </c>
      <c r="D1198" s="1">
        <v>44524.864583333336</v>
      </c>
      <c r="E119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199" spans="1:5" x14ac:dyDescent="0.3">
      <c r="A1199">
        <v>402</v>
      </c>
      <c r="B1199" t="s">
        <v>68</v>
      </c>
      <c r="C1199" s="1">
        <v>44530.694444444445</v>
      </c>
      <c r="D1199" s="1">
        <v>44531.034722222219</v>
      </c>
      <c r="E1199" s="17">
        <f>IF(Tablo2[[#This Row],[Başlangıç]]="","",(IF(Tablo2[[#This Row],[Bitiş]]="",($G$1-Tablo2[[#This Row],[Başlangıç]])*24,(Tablo2[[#This Row],[Bitiş]]-Tablo2[[#This Row],[Başlangıç]])*24)))</f>
        <v>8.1666666665696539</v>
      </c>
    </row>
    <row r="1200" spans="1:5" x14ac:dyDescent="0.3">
      <c r="A1200">
        <v>402</v>
      </c>
      <c r="B1200" t="s">
        <v>37</v>
      </c>
      <c r="C1200" s="1">
        <v>44525.701388888891</v>
      </c>
      <c r="D1200" s="1">
        <v>44528.686805555553</v>
      </c>
      <c r="E1200" s="17">
        <f>IF(Tablo2[[#This Row],[Başlangıç]]="","",(IF(Tablo2[[#This Row],[Bitiş]]="",($G$1-Tablo2[[#This Row],[Başlangıç]])*24,(Tablo2[[#This Row],[Bitiş]]-Tablo2[[#This Row],[Başlangıç]])*24)))</f>
        <v>71.649999999906868</v>
      </c>
    </row>
    <row r="1201" spans="1:5" x14ac:dyDescent="0.3">
      <c r="A1201">
        <v>402</v>
      </c>
      <c r="B1201" t="s">
        <v>65</v>
      </c>
      <c r="C1201" s="1"/>
      <c r="D1201" s="1"/>
      <c r="E120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02" spans="1:5" x14ac:dyDescent="0.3">
      <c r="A1202">
        <v>403</v>
      </c>
      <c r="B1202" t="s">
        <v>36</v>
      </c>
      <c r="C1202" s="1">
        <v>44525.28125</v>
      </c>
      <c r="D1202" s="1">
        <v>44525.930555555555</v>
      </c>
      <c r="E1202" s="17">
        <f>IF(Tablo2[[#This Row],[Başlangıç]]="","",(IF(Tablo2[[#This Row],[Bitiş]]="",($G$1-Tablo2[[#This Row],[Başlangıç]])*24,(Tablo2[[#This Row],[Bitiş]]-Tablo2[[#This Row],[Başlangıç]])*24)))</f>
        <v>15.583333333313931</v>
      </c>
    </row>
    <row r="1203" spans="1:5" x14ac:dyDescent="0.3">
      <c r="A1203">
        <v>403</v>
      </c>
      <c r="B1203" t="s">
        <v>84</v>
      </c>
      <c r="C1203" s="1"/>
      <c r="D1203" s="1"/>
      <c r="E120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04" spans="1:5" x14ac:dyDescent="0.3">
      <c r="A1204">
        <v>403</v>
      </c>
      <c r="B1204" t="s">
        <v>179</v>
      </c>
      <c r="C1204" s="1">
        <v>44525.28125</v>
      </c>
      <c r="D1204" s="1">
        <v>44525.302083333336</v>
      </c>
      <c r="E12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05" spans="1:5" x14ac:dyDescent="0.3">
      <c r="A1205">
        <v>403</v>
      </c>
      <c r="B1205" t="s">
        <v>68</v>
      </c>
      <c r="C1205" s="1"/>
      <c r="D1205" s="1"/>
      <c r="E12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06" spans="1:5" x14ac:dyDescent="0.3">
      <c r="A1206">
        <v>403</v>
      </c>
      <c r="B1206" t="s">
        <v>37</v>
      </c>
      <c r="C1206" s="1">
        <v>44526.708333333336</v>
      </c>
      <c r="D1206" s="1">
        <v>44529.065972222219</v>
      </c>
      <c r="E1206" s="17">
        <f>IF(Tablo2[[#This Row],[Başlangıç]]="","",(IF(Tablo2[[#This Row],[Bitiş]]="",($G$1-Tablo2[[#This Row],[Başlangıç]])*24,(Tablo2[[#This Row],[Bitiş]]-Tablo2[[#This Row],[Başlangıç]])*24)))</f>
        <v>56.583333333197515</v>
      </c>
    </row>
    <row r="1207" spans="1:5" x14ac:dyDescent="0.3">
      <c r="A1207">
        <v>403</v>
      </c>
      <c r="B1207" t="s">
        <v>65</v>
      </c>
      <c r="C1207" s="1"/>
      <c r="D1207" s="1"/>
      <c r="E120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08" spans="1:5" x14ac:dyDescent="0.3">
      <c r="A1208">
        <v>404</v>
      </c>
      <c r="B1208" t="s">
        <v>36</v>
      </c>
      <c r="C1208" s="1">
        <v>44525.416666666664</v>
      </c>
      <c r="D1208" s="1"/>
      <c r="E1208" s="17">
        <f ca="1">IF(Tablo2[[#This Row],[Başlangıç]]="","",(IF(Tablo2[[#This Row],[Bitiş]]="",($G$1-Tablo2[[#This Row],[Başlangıç]])*24,(Tablo2[[#This Row],[Bitiş]]-Tablo2[[#This Row],[Başlangıç]])*24)))</f>
        <v>3614.0000000000582</v>
      </c>
    </row>
    <row r="1209" spans="1:5" x14ac:dyDescent="0.3">
      <c r="A1209">
        <v>404</v>
      </c>
      <c r="B1209" t="s">
        <v>84</v>
      </c>
      <c r="C1209" s="1"/>
      <c r="D1209" s="1"/>
      <c r="E120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10" spans="1:5" x14ac:dyDescent="0.3">
      <c r="A1210">
        <v>404</v>
      </c>
      <c r="B1210" t="s">
        <v>179</v>
      </c>
      <c r="C1210" s="1">
        <v>44525.416666666664</v>
      </c>
      <c r="D1210" s="1">
        <v>44525.4375</v>
      </c>
      <c r="E121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11" spans="1:5" x14ac:dyDescent="0.3">
      <c r="A1211">
        <v>404</v>
      </c>
      <c r="B1211" t="s">
        <v>68</v>
      </c>
      <c r="C1211" s="1"/>
      <c r="D1211" s="1"/>
      <c r="E12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12" spans="1:5" x14ac:dyDescent="0.3">
      <c r="A1212">
        <v>404</v>
      </c>
      <c r="B1212" t="s">
        <v>37</v>
      </c>
      <c r="C1212" s="1">
        <v>44528.729166666664</v>
      </c>
      <c r="D1212" s="1">
        <v>44528.927083333336</v>
      </c>
      <c r="E1212" s="17">
        <f>IF(Tablo2[[#This Row],[Başlangıç]]="","",(IF(Tablo2[[#This Row],[Bitiş]]="",($G$1-Tablo2[[#This Row],[Başlangıç]])*24,(Tablo2[[#This Row],[Bitiş]]-Tablo2[[#This Row],[Başlangıç]])*24)))</f>
        <v>4.7500000001164153</v>
      </c>
    </row>
    <row r="1213" spans="1:5" x14ac:dyDescent="0.3">
      <c r="A1213">
        <v>404</v>
      </c>
      <c r="B1213" t="s">
        <v>65</v>
      </c>
      <c r="C1213" s="1">
        <v>44530.354166666664</v>
      </c>
      <c r="D1213" s="1">
        <v>44530.652777777781</v>
      </c>
      <c r="E1213" s="17">
        <f>IF(Tablo2[[#This Row],[Başlangıç]]="","",(IF(Tablo2[[#This Row],[Bitiş]]="",($G$1-Tablo2[[#This Row],[Başlangıç]])*24,(Tablo2[[#This Row],[Bitiş]]-Tablo2[[#This Row],[Başlangıç]])*24)))</f>
        <v>7.1666666668024845</v>
      </c>
    </row>
    <row r="1214" spans="1:5" x14ac:dyDescent="0.3">
      <c r="A1214">
        <v>405</v>
      </c>
      <c r="B1214" t="s">
        <v>36</v>
      </c>
      <c r="C1214" s="1">
        <v>44525.618055555555</v>
      </c>
      <c r="D1214" s="1"/>
      <c r="E1214" s="17">
        <f ca="1">IF(Tablo2[[#This Row],[Başlangıç]]="","",(IF(Tablo2[[#This Row],[Bitiş]]="",($G$1-Tablo2[[#This Row],[Başlangıç]])*24,(Tablo2[[#This Row],[Bitiş]]-Tablo2[[#This Row],[Başlangıç]])*24)))</f>
        <v>3609.1666666666861</v>
      </c>
    </row>
    <row r="1215" spans="1:5" x14ac:dyDescent="0.3">
      <c r="A1215">
        <v>405</v>
      </c>
      <c r="B1215" t="s">
        <v>84</v>
      </c>
      <c r="C1215" s="1"/>
      <c r="D1215" s="1"/>
      <c r="E12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16" spans="1:5" x14ac:dyDescent="0.3">
      <c r="A1216">
        <v>405</v>
      </c>
      <c r="B1216" t="s">
        <v>179</v>
      </c>
      <c r="C1216" s="1">
        <v>44525.618055555555</v>
      </c>
      <c r="D1216" s="1">
        <v>44525.638888888891</v>
      </c>
      <c r="E121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17" spans="1:5" x14ac:dyDescent="0.3">
      <c r="A1217">
        <v>405</v>
      </c>
      <c r="B1217" t="s">
        <v>68</v>
      </c>
      <c r="C1217" s="1">
        <v>44530.791666666664</v>
      </c>
      <c r="D1217" s="1">
        <v>44530.829861111109</v>
      </c>
      <c r="E1217" s="17">
        <f>IF(Tablo2[[#This Row],[Başlangıç]]="","",(IF(Tablo2[[#This Row],[Bitiş]]="",($G$1-Tablo2[[#This Row],[Başlangıç]])*24,(Tablo2[[#This Row],[Bitiş]]-Tablo2[[#This Row],[Başlangıç]])*24)))</f>
        <v>0.91666666668606922</v>
      </c>
    </row>
    <row r="1218" spans="1:5" x14ac:dyDescent="0.3">
      <c r="A1218">
        <v>405</v>
      </c>
      <c r="B1218" t="s">
        <v>37</v>
      </c>
      <c r="C1218" s="1">
        <v>44527.559027777781</v>
      </c>
      <c r="D1218" s="1">
        <v>44529.833333333336</v>
      </c>
      <c r="E1218" s="17">
        <f>IF(Tablo2[[#This Row],[Başlangıç]]="","",(IF(Tablo2[[#This Row],[Bitiş]]="",($G$1-Tablo2[[#This Row],[Başlangıç]])*24,(Tablo2[[#This Row],[Bitiş]]-Tablo2[[#This Row],[Başlangıç]])*24)))</f>
        <v>54.583333333313931</v>
      </c>
    </row>
    <row r="1219" spans="1:5" x14ac:dyDescent="0.3">
      <c r="A1219">
        <v>405</v>
      </c>
      <c r="B1219" t="s">
        <v>65</v>
      </c>
      <c r="C1219" s="1"/>
      <c r="D1219" s="1"/>
      <c r="E121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0" spans="1:5" x14ac:dyDescent="0.3">
      <c r="A1220">
        <v>406</v>
      </c>
      <c r="B1220" t="s">
        <v>36</v>
      </c>
      <c r="C1220" s="1">
        <v>44526.416666666664</v>
      </c>
      <c r="D1220" s="1"/>
      <c r="E1220" s="17">
        <f ca="1">IF(Tablo2[[#This Row],[Başlangıç]]="","",(IF(Tablo2[[#This Row],[Bitiş]]="",($G$1-Tablo2[[#This Row],[Başlangıç]])*24,(Tablo2[[#This Row],[Bitiş]]-Tablo2[[#This Row],[Başlangıç]])*24)))</f>
        <v>3590.0000000000582</v>
      </c>
    </row>
    <row r="1221" spans="1:5" x14ac:dyDescent="0.3">
      <c r="A1221">
        <v>406</v>
      </c>
      <c r="B1221" t="s">
        <v>84</v>
      </c>
      <c r="C1221" s="1"/>
      <c r="D1221" s="1"/>
      <c r="E12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2" spans="1:5" x14ac:dyDescent="0.3">
      <c r="A1222">
        <v>406</v>
      </c>
      <c r="B1222" t="s">
        <v>179</v>
      </c>
      <c r="C1222" s="1">
        <v>44526.416666666664</v>
      </c>
      <c r="D1222" s="1">
        <v>44526.4375</v>
      </c>
      <c r="E12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23" spans="1:5" x14ac:dyDescent="0.3">
      <c r="A1223">
        <v>406</v>
      </c>
      <c r="B1223" t="s">
        <v>68</v>
      </c>
      <c r="C1223" s="1"/>
      <c r="D1223" s="1"/>
      <c r="E12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4" spans="1:5" x14ac:dyDescent="0.3">
      <c r="A1224">
        <v>406</v>
      </c>
      <c r="B1224" t="s">
        <v>37</v>
      </c>
      <c r="C1224" s="1">
        <v>44527.5</v>
      </c>
      <c r="D1224" s="1">
        <v>44529.989583333336</v>
      </c>
      <c r="E1224" s="17">
        <f>IF(Tablo2[[#This Row],[Başlangıç]]="","",(IF(Tablo2[[#This Row],[Bitiş]]="",($G$1-Tablo2[[#This Row],[Başlangıç]])*24,(Tablo2[[#This Row],[Bitiş]]-Tablo2[[#This Row],[Başlangıç]])*24)))</f>
        <v>59.750000000058208</v>
      </c>
    </row>
    <row r="1225" spans="1:5" x14ac:dyDescent="0.3">
      <c r="A1225">
        <v>406</v>
      </c>
      <c r="B1225" t="s">
        <v>65</v>
      </c>
      <c r="C1225" s="1"/>
      <c r="D1225" s="1"/>
      <c r="E122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6" spans="1:5" x14ac:dyDescent="0.3">
      <c r="A1226">
        <v>407</v>
      </c>
      <c r="B1226" t="s">
        <v>36</v>
      </c>
      <c r="C1226" s="1">
        <v>44526.917361111111</v>
      </c>
      <c r="D1226" s="1"/>
      <c r="E1226" s="17">
        <f ca="1">IF(Tablo2[[#This Row],[Başlangıç]]="","",(IF(Tablo2[[#This Row],[Bitiş]]="",($G$1-Tablo2[[#This Row],[Başlangıç]])*24,(Tablo2[[#This Row],[Bitiş]]-Tablo2[[#This Row],[Başlangıç]])*24)))</f>
        <v>3577.9833333333372</v>
      </c>
    </row>
    <row r="1227" spans="1:5" x14ac:dyDescent="0.3">
      <c r="A1227">
        <v>407</v>
      </c>
      <c r="B1227" t="s">
        <v>84</v>
      </c>
      <c r="C1227" s="1"/>
      <c r="D1227" s="1"/>
      <c r="E122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28" spans="1:5" x14ac:dyDescent="0.3">
      <c r="A1228">
        <v>407</v>
      </c>
      <c r="B1228" t="s">
        <v>179</v>
      </c>
      <c r="C1228" s="1">
        <v>44526.917361111111</v>
      </c>
      <c r="D1228" s="1">
        <v>44526.938194444447</v>
      </c>
      <c r="E12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29" spans="1:5" x14ac:dyDescent="0.3">
      <c r="A1229">
        <v>407</v>
      </c>
      <c r="B1229" t="s">
        <v>68</v>
      </c>
      <c r="C1229" s="1"/>
      <c r="D1229" s="1"/>
      <c r="E122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0" spans="1:5" x14ac:dyDescent="0.3">
      <c r="A1230">
        <v>407</v>
      </c>
      <c r="B1230" t="s">
        <v>37</v>
      </c>
      <c r="C1230" s="1">
        <v>44528.881944444445</v>
      </c>
      <c r="D1230" s="1">
        <v>44536.114583333336</v>
      </c>
      <c r="E1230" s="17">
        <f>IF(Tablo2[[#This Row],[Başlangıç]]="","",(IF(Tablo2[[#This Row],[Bitiş]]="",($G$1-Tablo2[[#This Row],[Başlangıç]])*24,(Tablo2[[#This Row],[Bitiş]]-Tablo2[[#This Row],[Başlangıç]])*24)))</f>
        <v>173.58333333337214</v>
      </c>
    </row>
    <row r="1231" spans="1:5" x14ac:dyDescent="0.3">
      <c r="A1231">
        <v>407</v>
      </c>
      <c r="B1231" t="s">
        <v>65</v>
      </c>
      <c r="C1231" s="1"/>
      <c r="D1231" s="1"/>
      <c r="E123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2" spans="1:5" x14ac:dyDescent="0.3">
      <c r="A1232">
        <v>408</v>
      </c>
      <c r="B1232" t="s">
        <v>36</v>
      </c>
      <c r="C1232" s="1">
        <v>44526.923611111109</v>
      </c>
      <c r="D1232" s="1"/>
      <c r="E1232" s="17">
        <f ca="1">IF(Tablo2[[#This Row],[Başlangıç]]="","",(IF(Tablo2[[#This Row],[Bitiş]]="",($G$1-Tablo2[[#This Row],[Başlangıç]])*24,(Tablo2[[#This Row],[Bitiş]]-Tablo2[[#This Row],[Başlangıç]])*24)))</f>
        <v>3577.8333333333721</v>
      </c>
    </row>
    <row r="1233" spans="1:5" x14ac:dyDescent="0.3">
      <c r="A1233">
        <v>408</v>
      </c>
      <c r="B1233" t="s">
        <v>84</v>
      </c>
      <c r="C1233" s="1"/>
      <c r="D1233" s="1"/>
      <c r="E123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4" spans="1:5" x14ac:dyDescent="0.3">
      <c r="A1234">
        <v>408</v>
      </c>
      <c r="B1234" t="s">
        <v>179</v>
      </c>
      <c r="C1234" s="1">
        <v>44526.923611111109</v>
      </c>
      <c r="D1234" s="1">
        <v>44526.944444444445</v>
      </c>
      <c r="E12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35" spans="1:5" x14ac:dyDescent="0.3">
      <c r="A1235">
        <v>408</v>
      </c>
      <c r="B1235" t="s">
        <v>68</v>
      </c>
      <c r="C1235" s="1"/>
      <c r="D1235" s="1"/>
      <c r="E123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6" spans="1:5" x14ac:dyDescent="0.3">
      <c r="A1236">
        <v>408</v>
      </c>
      <c r="B1236" t="s">
        <v>37</v>
      </c>
      <c r="C1236" s="1">
        <v>44529.429166666669</v>
      </c>
      <c r="D1236" s="1">
        <v>44531.8125</v>
      </c>
      <c r="E1236" s="17">
        <f>IF(Tablo2[[#This Row],[Başlangıç]]="","",(IF(Tablo2[[#This Row],[Bitiş]]="",($G$1-Tablo2[[#This Row],[Başlangıç]])*24,(Tablo2[[#This Row],[Bitiş]]-Tablo2[[#This Row],[Başlangıç]])*24)))</f>
        <v>57.199999999953434</v>
      </c>
    </row>
    <row r="1237" spans="1:5" x14ac:dyDescent="0.3">
      <c r="A1237">
        <v>408</v>
      </c>
      <c r="B1237" t="s">
        <v>65</v>
      </c>
      <c r="C1237" s="1"/>
      <c r="D1237" s="1"/>
      <c r="E123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38" spans="1:5" x14ac:dyDescent="0.3">
      <c r="A1238">
        <v>409</v>
      </c>
      <c r="B1238" t="s">
        <v>36</v>
      </c>
      <c r="C1238" s="1">
        <v>44532.333333333336</v>
      </c>
      <c r="D1238" s="1"/>
      <c r="E1238" s="17">
        <f ca="1">IF(Tablo2[[#This Row],[Başlangıç]]="","",(IF(Tablo2[[#This Row],[Bitiş]]="",($G$1-Tablo2[[#This Row],[Başlangıç]])*24,(Tablo2[[#This Row],[Bitiş]]-Tablo2[[#This Row],[Başlangıç]])*24)))</f>
        <v>3447.9999999999418</v>
      </c>
    </row>
    <row r="1239" spans="1:5" x14ac:dyDescent="0.3">
      <c r="A1239">
        <v>409</v>
      </c>
      <c r="B1239" t="s">
        <v>84</v>
      </c>
      <c r="C1239" s="1"/>
      <c r="D1239" s="1"/>
      <c r="E123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0" spans="1:5" x14ac:dyDescent="0.3">
      <c r="A1240">
        <v>409</v>
      </c>
      <c r="B1240" t="s">
        <v>179</v>
      </c>
      <c r="C1240" s="1">
        <v>44532.333333333336</v>
      </c>
      <c r="D1240" s="1">
        <v>44532.354166666664</v>
      </c>
      <c r="E124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241" spans="1:5" x14ac:dyDescent="0.3">
      <c r="A1241">
        <v>409</v>
      </c>
      <c r="B1241" t="s">
        <v>68</v>
      </c>
      <c r="C1241" s="1"/>
      <c r="D1241" s="1"/>
      <c r="E124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2" spans="1:5" x14ac:dyDescent="0.3">
      <c r="A1242">
        <v>409</v>
      </c>
      <c r="B1242" t="s">
        <v>37</v>
      </c>
      <c r="C1242" s="1">
        <v>44533.072916666664</v>
      </c>
      <c r="D1242" s="1">
        <v>44533.793055555558</v>
      </c>
      <c r="E1242" s="17">
        <f>IF(Tablo2[[#This Row],[Başlangıç]]="","",(IF(Tablo2[[#This Row],[Bitiş]]="",($G$1-Tablo2[[#This Row],[Başlangıç]])*24,(Tablo2[[#This Row],[Bitiş]]-Tablo2[[#This Row],[Başlangıç]])*24)))</f>
        <v>17.283333333441988</v>
      </c>
    </row>
    <row r="1243" spans="1:5" x14ac:dyDescent="0.3">
      <c r="A1243">
        <v>409</v>
      </c>
      <c r="B1243" t="s">
        <v>65</v>
      </c>
      <c r="C1243" s="1"/>
      <c r="D1243" s="1"/>
      <c r="E124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4" spans="1:5" x14ac:dyDescent="0.3">
      <c r="A1244">
        <v>410</v>
      </c>
      <c r="B1244" t="s">
        <v>36</v>
      </c>
      <c r="C1244" s="1">
        <v>44530.541666666664</v>
      </c>
      <c r="D1244" s="1"/>
      <c r="E1244" s="17">
        <f ca="1">IF(Tablo2[[#This Row],[Başlangıç]]="","",(IF(Tablo2[[#This Row],[Bitiş]]="",($G$1-Tablo2[[#This Row],[Başlangıç]])*24,(Tablo2[[#This Row],[Bitiş]]-Tablo2[[#This Row],[Başlangıç]])*24)))</f>
        <v>3491.0000000000582</v>
      </c>
    </row>
    <row r="1245" spans="1:5" x14ac:dyDescent="0.3">
      <c r="A1245">
        <v>410</v>
      </c>
      <c r="B1245" t="s">
        <v>84</v>
      </c>
      <c r="C1245" s="1"/>
      <c r="D1245" s="1"/>
      <c r="E124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6" spans="1:5" x14ac:dyDescent="0.3">
      <c r="A1246">
        <v>410</v>
      </c>
      <c r="B1246" t="s">
        <v>179</v>
      </c>
      <c r="C1246" s="1">
        <v>44530.541666666664</v>
      </c>
      <c r="D1246" s="1">
        <v>44530.5625</v>
      </c>
      <c r="E124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47" spans="1:5" x14ac:dyDescent="0.3">
      <c r="A1247">
        <v>410</v>
      </c>
      <c r="B1247" t="s">
        <v>68</v>
      </c>
      <c r="C1247" s="1"/>
      <c r="D1247" s="1"/>
      <c r="E124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48" spans="1:5" x14ac:dyDescent="0.3">
      <c r="A1248">
        <v>410</v>
      </c>
      <c r="B1248" t="s">
        <v>37</v>
      </c>
      <c r="C1248" s="1">
        <v>44531.0625</v>
      </c>
      <c r="D1248" s="1">
        <v>44532.447916666664</v>
      </c>
      <c r="E1248" s="17">
        <f>IF(Tablo2[[#This Row],[Başlangıç]]="","",(IF(Tablo2[[#This Row],[Bitiş]]="",($G$1-Tablo2[[#This Row],[Başlangıç]])*24,(Tablo2[[#This Row],[Bitiş]]-Tablo2[[#This Row],[Başlangıç]])*24)))</f>
        <v>33.249999999941792</v>
      </c>
    </row>
    <row r="1249" spans="1:5" x14ac:dyDescent="0.3">
      <c r="A1249">
        <v>410</v>
      </c>
      <c r="B1249" t="s">
        <v>65</v>
      </c>
      <c r="C1249" s="1"/>
      <c r="D1249" s="1"/>
      <c r="E124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50" spans="1:5" x14ac:dyDescent="0.3">
      <c r="A1250">
        <v>411</v>
      </c>
      <c r="B1250" t="s">
        <v>36</v>
      </c>
      <c r="C1250" s="1">
        <v>44528.150694444441</v>
      </c>
      <c r="D1250" s="1"/>
      <c r="E1250" s="17">
        <f ca="1">IF(Tablo2[[#This Row],[Başlangıç]]="","",(IF(Tablo2[[#This Row],[Bitiş]]="",($G$1-Tablo2[[#This Row],[Başlangıç]])*24,(Tablo2[[#This Row],[Bitiş]]-Tablo2[[#This Row],[Başlangıç]])*24)))</f>
        <v>3548.3833333334187</v>
      </c>
    </row>
    <row r="1251" spans="1:5" x14ac:dyDescent="0.3">
      <c r="A1251">
        <v>411</v>
      </c>
      <c r="B1251" t="s">
        <v>84</v>
      </c>
      <c r="C1251" s="1"/>
      <c r="D1251" s="1"/>
      <c r="E125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52" spans="1:5" x14ac:dyDescent="0.3">
      <c r="A1252">
        <v>411</v>
      </c>
      <c r="B1252" t="s">
        <v>179</v>
      </c>
      <c r="C1252" s="1">
        <v>44528.150694444441</v>
      </c>
      <c r="D1252" s="1">
        <v>44528.171527777777</v>
      </c>
      <c r="E125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53" spans="1:5" x14ac:dyDescent="0.3">
      <c r="A1253">
        <v>411</v>
      </c>
      <c r="B1253" t="s">
        <v>68</v>
      </c>
      <c r="C1253" s="1"/>
      <c r="D1253" s="1"/>
      <c r="E12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54" spans="1:5" x14ac:dyDescent="0.3">
      <c r="A1254">
        <v>411</v>
      </c>
      <c r="B1254" t="s">
        <v>37</v>
      </c>
      <c r="C1254" s="1">
        <v>44530.055555555555</v>
      </c>
      <c r="D1254" s="1">
        <v>44530.583333333336</v>
      </c>
      <c r="E1254" s="17">
        <f>IF(Tablo2[[#This Row],[Başlangıç]]="","",(IF(Tablo2[[#This Row],[Bitiş]]="",($G$1-Tablo2[[#This Row],[Başlangıç]])*24,(Tablo2[[#This Row],[Bitiş]]-Tablo2[[#This Row],[Başlangıç]])*24)))</f>
        <v>12.666666666744277</v>
      </c>
    </row>
    <row r="1255" spans="1:5" x14ac:dyDescent="0.3">
      <c r="A1255">
        <v>411</v>
      </c>
      <c r="B1255" t="s">
        <v>65</v>
      </c>
      <c r="C1255" s="1"/>
      <c r="D1255" s="1"/>
      <c r="E125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56" spans="1:5" x14ac:dyDescent="0.3">
      <c r="A1256">
        <v>413</v>
      </c>
      <c r="B1256" t="s">
        <v>36</v>
      </c>
      <c r="C1256" s="1">
        <v>44530.958333333336</v>
      </c>
      <c r="D1256" s="1"/>
      <c r="E1256" s="17">
        <f ca="1">IF(Tablo2[[#This Row],[Başlangıç]]="","",(IF(Tablo2[[#This Row],[Bitiş]]="",($G$1-Tablo2[[#This Row],[Başlangıç]])*24,(Tablo2[[#This Row],[Bitiş]]-Tablo2[[#This Row],[Başlangıç]])*24)))</f>
        <v>3480.9999999999418</v>
      </c>
    </row>
    <row r="1257" spans="1:5" x14ac:dyDescent="0.3">
      <c r="A1257">
        <v>413</v>
      </c>
      <c r="B1257" t="s">
        <v>84</v>
      </c>
      <c r="C1257" s="1"/>
      <c r="D1257" s="1"/>
      <c r="E125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58" spans="1:5" x14ac:dyDescent="0.3">
      <c r="A1258">
        <v>413</v>
      </c>
      <c r="B1258" t="s">
        <v>179</v>
      </c>
      <c r="C1258" s="1">
        <v>44530.958333333336</v>
      </c>
      <c r="D1258" s="1">
        <v>44530.979166666664</v>
      </c>
      <c r="E12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259" spans="1:5" x14ac:dyDescent="0.3">
      <c r="A1259">
        <v>413</v>
      </c>
      <c r="B1259" t="s">
        <v>68</v>
      </c>
      <c r="C1259" s="1"/>
      <c r="D1259" s="1"/>
      <c r="E125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0" spans="1:5" x14ac:dyDescent="0.3">
      <c r="A1260">
        <v>413</v>
      </c>
      <c r="B1260" t="s">
        <v>37</v>
      </c>
      <c r="C1260" s="1">
        <v>44531.21875</v>
      </c>
      <c r="D1260" s="1">
        <v>44531.055555555555</v>
      </c>
      <c r="E1260" s="17">
        <f>IF(Tablo2[[#This Row],[Başlangıç]]="","",(IF(Tablo2[[#This Row],[Bitiş]]="",($G$1-Tablo2[[#This Row],[Başlangıç]])*24,(Tablo2[[#This Row],[Bitiş]]-Tablo2[[#This Row],[Başlangıç]])*24)))</f>
        <v>-3.9166666666860692</v>
      </c>
    </row>
    <row r="1261" spans="1:5" x14ac:dyDescent="0.3">
      <c r="A1261">
        <v>413</v>
      </c>
      <c r="B1261" t="s">
        <v>65</v>
      </c>
      <c r="C1261" s="1"/>
      <c r="D1261" s="1"/>
      <c r="E126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2" spans="1:5" x14ac:dyDescent="0.3">
      <c r="A1262">
        <v>414</v>
      </c>
      <c r="B1262" t="s">
        <v>36</v>
      </c>
      <c r="C1262" s="1">
        <v>44530.916666666664</v>
      </c>
      <c r="D1262" s="1"/>
      <c r="E1262" s="17">
        <f ca="1">IF(Tablo2[[#This Row],[Başlangıç]]="","",(IF(Tablo2[[#This Row],[Bitiş]]="",($G$1-Tablo2[[#This Row],[Başlangıç]])*24,(Tablo2[[#This Row],[Bitiş]]-Tablo2[[#This Row],[Başlangıç]])*24)))</f>
        <v>3482.0000000000582</v>
      </c>
    </row>
    <row r="1263" spans="1:5" x14ac:dyDescent="0.3">
      <c r="A1263">
        <v>414</v>
      </c>
      <c r="B1263" t="s">
        <v>84</v>
      </c>
      <c r="C1263" s="1"/>
      <c r="D1263" s="1"/>
      <c r="E126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4" spans="1:5" x14ac:dyDescent="0.3">
      <c r="A1264">
        <v>414</v>
      </c>
      <c r="B1264" t="s">
        <v>179</v>
      </c>
      <c r="C1264" s="1">
        <v>44530.916666666664</v>
      </c>
      <c r="D1264" s="1">
        <v>44530.9375</v>
      </c>
      <c r="E12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65" spans="1:5" x14ac:dyDescent="0.3">
      <c r="A1265">
        <v>414</v>
      </c>
      <c r="B1265" t="s">
        <v>68</v>
      </c>
      <c r="C1265" s="1"/>
      <c r="D1265" s="1"/>
      <c r="E126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6" spans="1:5" x14ac:dyDescent="0.3">
      <c r="A1266">
        <v>414</v>
      </c>
      <c r="B1266" t="s">
        <v>37</v>
      </c>
      <c r="C1266" s="1">
        <v>44531.607638888891</v>
      </c>
      <c r="D1266" s="1">
        <v>44535.024305555555</v>
      </c>
      <c r="E1266" s="17">
        <f>IF(Tablo2[[#This Row],[Başlangıç]]="","",(IF(Tablo2[[#This Row],[Bitiş]]="",($G$1-Tablo2[[#This Row],[Başlangıç]])*24,(Tablo2[[#This Row],[Bitiş]]-Tablo2[[#This Row],[Başlangıç]])*24)))</f>
        <v>81.999999999941792</v>
      </c>
    </row>
    <row r="1267" spans="1:5" x14ac:dyDescent="0.3">
      <c r="A1267">
        <v>414</v>
      </c>
      <c r="B1267" t="s">
        <v>65</v>
      </c>
      <c r="C1267" s="1"/>
      <c r="D1267" s="1"/>
      <c r="E126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68" spans="1:5" x14ac:dyDescent="0.3">
      <c r="A1268">
        <v>415</v>
      </c>
      <c r="B1268" t="s">
        <v>36</v>
      </c>
      <c r="C1268" s="1">
        <v>44531.458333333336</v>
      </c>
      <c r="D1268" s="1"/>
      <c r="E1268" s="17">
        <f ca="1">IF(Tablo2[[#This Row],[Başlangıç]]="","",(IF(Tablo2[[#This Row],[Bitiş]]="",($G$1-Tablo2[[#This Row],[Başlangıç]])*24,(Tablo2[[#This Row],[Bitiş]]-Tablo2[[#This Row],[Başlangıç]])*24)))</f>
        <v>3468.9999999999418</v>
      </c>
    </row>
    <row r="1269" spans="1:5" x14ac:dyDescent="0.3">
      <c r="A1269">
        <v>415</v>
      </c>
      <c r="B1269" t="s">
        <v>84</v>
      </c>
      <c r="C1269" s="1"/>
      <c r="D1269" s="1"/>
      <c r="E126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0" spans="1:5" x14ac:dyDescent="0.3">
      <c r="A1270">
        <v>415</v>
      </c>
      <c r="B1270" t="s">
        <v>179</v>
      </c>
      <c r="C1270" s="1">
        <v>44531.458333333336</v>
      </c>
      <c r="D1270" s="1">
        <v>44531.479166666664</v>
      </c>
      <c r="E127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271" spans="1:5" x14ac:dyDescent="0.3">
      <c r="A1271">
        <v>415</v>
      </c>
      <c r="B1271" t="s">
        <v>68</v>
      </c>
      <c r="C1271" s="1"/>
      <c r="D1271" s="1"/>
      <c r="E127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2" spans="1:5" x14ac:dyDescent="0.3">
      <c r="A1272">
        <v>415</v>
      </c>
      <c r="B1272" t="s">
        <v>37</v>
      </c>
      <c r="C1272" s="1">
        <v>44531.940972222219</v>
      </c>
      <c r="D1272" s="1">
        <v>44534.496527777781</v>
      </c>
      <c r="E1272" s="17">
        <f>IF(Tablo2[[#This Row],[Başlangıç]]="","",(IF(Tablo2[[#This Row],[Bitiş]]="",($G$1-Tablo2[[#This Row],[Başlangıç]])*24,(Tablo2[[#This Row],[Bitiş]]-Tablo2[[#This Row],[Başlangıç]])*24)))</f>
        <v>61.333333333488554</v>
      </c>
    </row>
    <row r="1273" spans="1:5" x14ac:dyDescent="0.3">
      <c r="A1273">
        <v>415</v>
      </c>
      <c r="B1273" t="s">
        <v>65</v>
      </c>
      <c r="C1273" s="1"/>
      <c r="D1273" s="1"/>
      <c r="E127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4" spans="1:5" x14ac:dyDescent="0.3">
      <c r="A1274">
        <v>416</v>
      </c>
      <c r="B1274" t="s">
        <v>36</v>
      </c>
      <c r="C1274" s="1">
        <v>44530.606249999997</v>
      </c>
      <c r="D1274" s="1"/>
      <c r="E1274" s="17">
        <f ca="1">IF(Tablo2[[#This Row],[Başlangıç]]="","",(IF(Tablo2[[#This Row],[Bitiş]]="",($G$1-Tablo2[[#This Row],[Başlangıç]])*24,(Tablo2[[#This Row],[Bitiş]]-Tablo2[[#This Row],[Başlangıç]])*24)))</f>
        <v>3489.4500000000698</v>
      </c>
    </row>
    <row r="1275" spans="1:5" x14ac:dyDescent="0.3">
      <c r="A1275">
        <v>416</v>
      </c>
      <c r="B1275" t="s">
        <v>84</v>
      </c>
      <c r="C1275" s="1"/>
      <c r="D1275" s="1"/>
      <c r="E127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6" spans="1:5" x14ac:dyDescent="0.3">
      <c r="A1276">
        <v>416</v>
      </c>
      <c r="B1276" t="s">
        <v>179</v>
      </c>
      <c r="C1276" s="1">
        <v>44530.606249999997</v>
      </c>
      <c r="D1276" s="1">
        <v>44530.627083333333</v>
      </c>
      <c r="E127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77" spans="1:5" x14ac:dyDescent="0.3">
      <c r="A1277">
        <v>416</v>
      </c>
      <c r="B1277" t="s">
        <v>68</v>
      </c>
      <c r="C1277" s="1"/>
      <c r="D1277" s="1"/>
      <c r="E127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78" spans="1:5" x14ac:dyDescent="0.3">
      <c r="A1278">
        <v>416</v>
      </c>
      <c r="B1278" t="s">
        <v>37</v>
      </c>
      <c r="C1278" s="1">
        <v>44532.361111111109</v>
      </c>
      <c r="D1278" s="1">
        <v>44532.741666666669</v>
      </c>
      <c r="E1278" s="17">
        <f>IF(Tablo2[[#This Row],[Başlangıç]]="","",(IF(Tablo2[[#This Row],[Bitiş]]="",($G$1-Tablo2[[#This Row],[Başlangıç]])*24,(Tablo2[[#This Row],[Bitiş]]-Tablo2[[#This Row],[Başlangıç]])*24)))</f>
        <v>9.1333333334187046</v>
      </c>
    </row>
    <row r="1279" spans="1:5" x14ac:dyDescent="0.3">
      <c r="A1279">
        <v>416</v>
      </c>
      <c r="B1279" t="s">
        <v>65</v>
      </c>
      <c r="C1279" s="1"/>
      <c r="D1279" s="1"/>
      <c r="E127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0" spans="1:5" x14ac:dyDescent="0.3">
      <c r="A1280">
        <v>417</v>
      </c>
      <c r="B1280" t="s">
        <v>36</v>
      </c>
      <c r="C1280" s="1">
        <v>44531.180555555555</v>
      </c>
      <c r="D1280" s="1"/>
      <c r="E1280" s="17">
        <f ca="1">IF(Tablo2[[#This Row],[Başlangıç]]="","",(IF(Tablo2[[#This Row],[Bitiş]]="",($G$1-Tablo2[[#This Row],[Başlangıç]])*24,(Tablo2[[#This Row],[Bitiş]]-Tablo2[[#This Row],[Başlangıç]])*24)))</f>
        <v>3475.6666666666861</v>
      </c>
    </row>
    <row r="1281" spans="1:5" x14ac:dyDescent="0.3">
      <c r="A1281">
        <v>417</v>
      </c>
      <c r="B1281" t="s">
        <v>84</v>
      </c>
      <c r="C1281" s="1"/>
      <c r="D1281" s="1"/>
      <c r="E128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2" spans="1:5" x14ac:dyDescent="0.3">
      <c r="A1282">
        <v>417</v>
      </c>
      <c r="B1282" t="s">
        <v>179</v>
      </c>
      <c r="C1282" s="1">
        <v>44531.180555555555</v>
      </c>
      <c r="D1282" s="1">
        <v>44531.201388888891</v>
      </c>
      <c r="E12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83" spans="1:5" x14ac:dyDescent="0.3">
      <c r="A1283">
        <v>417</v>
      </c>
      <c r="B1283" t="s">
        <v>68</v>
      </c>
      <c r="C1283" s="1"/>
      <c r="D1283" s="1"/>
      <c r="E12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4" spans="1:5" x14ac:dyDescent="0.3">
      <c r="A1284">
        <v>417</v>
      </c>
      <c r="B1284" t="s">
        <v>37</v>
      </c>
      <c r="C1284" s="1">
        <v>44536.069444444445</v>
      </c>
      <c r="D1284" s="1">
        <v>44536.659722222219</v>
      </c>
      <c r="E1284" s="17">
        <f>IF(Tablo2[[#This Row],[Başlangıç]]="","",(IF(Tablo2[[#This Row],[Bitiş]]="",($G$1-Tablo2[[#This Row],[Başlangıç]])*24,(Tablo2[[#This Row],[Bitiş]]-Tablo2[[#This Row],[Başlangıç]])*24)))</f>
        <v>14.166666666569654</v>
      </c>
    </row>
    <row r="1285" spans="1:5" x14ac:dyDescent="0.3">
      <c r="A1285">
        <v>417</v>
      </c>
      <c r="B1285" t="s">
        <v>65</v>
      </c>
      <c r="C1285" s="1"/>
      <c r="D1285" s="1"/>
      <c r="E12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6" spans="1:5" x14ac:dyDescent="0.3">
      <c r="A1286">
        <v>418</v>
      </c>
      <c r="B1286" t="s">
        <v>36</v>
      </c>
      <c r="C1286" s="1">
        <v>44531.600694444445</v>
      </c>
      <c r="D1286" s="1"/>
      <c r="E1286" s="17">
        <f ca="1">IF(Tablo2[[#This Row],[Başlangıç]]="","",(IF(Tablo2[[#This Row],[Bitiş]]="",($G$1-Tablo2[[#This Row],[Başlangıç]])*24,(Tablo2[[#This Row],[Bitiş]]-Tablo2[[#This Row],[Başlangıç]])*24)))</f>
        <v>3465.5833333333139</v>
      </c>
    </row>
    <row r="1287" spans="1:5" x14ac:dyDescent="0.3">
      <c r="A1287">
        <v>418</v>
      </c>
      <c r="B1287" t="s">
        <v>84</v>
      </c>
      <c r="C1287" s="1"/>
      <c r="D1287" s="1"/>
      <c r="E128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88" spans="1:5" x14ac:dyDescent="0.3">
      <c r="A1288">
        <v>418</v>
      </c>
      <c r="B1288" t="s">
        <v>179</v>
      </c>
      <c r="C1288" s="1">
        <v>44531.600694444445</v>
      </c>
      <c r="D1288" s="1">
        <v>44531.621527777781</v>
      </c>
      <c r="E12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289" spans="1:5" x14ac:dyDescent="0.3">
      <c r="A1289">
        <v>418</v>
      </c>
      <c r="B1289" t="s">
        <v>68</v>
      </c>
      <c r="C1289" s="1"/>
      <c r="D1289" s="1"/>
      <c r="E1289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0" spans="1:5" x14ac:dyDescent="0.3">
      <c r="A1290">
        <v>418</v>
      </c>
      <c r="B1290" t="s">
        <v>37</v>
      </c>
      <c r="C1290" s="1">
        <v>44533.243055555555</v>
      </c>
      <c r="D1290" s="1">
        <v>44533.472222222219</v>
      </c>
      <c r="E1290" s="17">
        <f>IF(Tablo2[[#This Row],[Başlangıç]]="","",(IF(Tablo2[[#This Row],[Bitiş]]="",($G$1-Tablo2[[#This Row],[Başlangıç]])*24,(Tablo2[[#This Row],[Bitiş]]-Tablo2[[#This Row],[Başlangıç]])*24)))</f>
        <v>5.4999999999417923</v>
      </c>
    </row>
    <row r="1291" spans="1:5" x14ac:dyDescent="0.3">
      <c r="A1291">
        <v>418</v>
      </c>
      <c r="B1291" t="s">
        <v>65</v>
      </c>
      <c r="C1291" s="1"/>
      <c r="D1291" s="1"/>
      <c r="E1291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2" spans="1:5" x14ac:dyDescent="0.3">
      <c r="A1292">
        <v>419</v>
      </c>
      <c r="B1292" t="s">
        <v>36</v>
      </c>
      <c r="C1292" s="1">
        <v>44531.962500000001</v>
      </c>
      <c r="D1292" s="1">
        <v>44532.919444444444</v>
      </c>
      <c r="E1292" s="17">
        <f>IF(Tablo2[[#This Row],[Başlangıç]]="","",(IF(Tablo2[[#This Row],[Bitiş]]="",($G$1-Tablo2[[#This Row],[Başlangıç]])*24,(Tablo2[[#This Row],[Bitiş]]-Tablo2[[#This Row],[Başlangıç]])*24)))</f>
        <v>22.96666666661622</v>
      </c>
    </row>
    <row r="1293" spans="1:5" x14ac:dyDescent="0.3">
      <c r="A1293">
        <v>419</v>
      </c>
      <c r="B1293" t="s">
        <v>84</v>
      </c>
      <c r="C1293" s="1"/>
      <c r="D1293" s="1"/>
      <c r="E1293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4" spans="1:5" x14ac:dyDescent="0.3">
      <c r="A1294">
        <v>419</v>
      </c>
      <c r="B1294" t="s">
        <v>179</v>
      </c>
      <c r="C1294" s="1">
        <v>44531.962500000001</v>
      </c>
      <c r="D1294" s="1">
        <v>44531.98333333333</v>
      </c>
      <c r="E129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295" spans="1:5" x14ac:dyDescent="0.3">
      <c r="A1295">
        <v>419</v>
      </c>
      <c r="B1295" t="s">
        <v>68</v>
      </c>
      <c r="C1295" s="1"/>
      <c r="D1295" s="1"/>
      <c r="E1295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6" spans="1:5" x14ac:dyDescent="0.3">
      <c r="A1296">
        <v>419</v>
      </c>
      <c r="B1296" t="s">
        <v>37</v>
      </c>
      <c r="C1296" s="1">
        <v>44533.34375</v>
      </c>
      <c r="D1296" s="1">
        <v>44537.177083333336</v>
      </c>
      <c r="E1296" s="17">
        <f>IF(Tablo2[[#This Row],[Başlangıç]]="","",(IF(Tablo2[[#This Row],[Bitiş]]="",($G$1-Tablo2[[#This Row],[Başlangıç]])*24,(Tablo2[[#This Row],[Bitiş]]-Tablo2[[#This Row],[Başlangıç]])*24)))</f>
        <v>92.000000000058208</v>
      </c>
    </row>
    <row r="1297" spans="1:5" x14ac:dyDescent="0.3">
      <c r="A1297">
        <v>419</v>
      </c>
      <c r="B1297" t="s">
        <v>65</v>
      </c>
      <c r="C1297" s="1"/>
      <c r="D1297" s="1"/>
      <c r="E1297" s="17" t="str">
        <f>IF(Tablo2[[#This Row],[Başlangıç]]="","",(IF(Tablo2[[#This Row],[Bitiş]]="",($G$1-Tablo2[[#This Row],[Başlangıç]])*24,(Tablo2[[#This Row],[Bitiş]]-Tablo2[[#This Row],[Başlangıç]])*24)))</f>
        <v/>
      </c>
    </row>
    <row r="1298" spans="1:5" x14ac:dyDescent="0.3">
      <c r="A1298">
        <v>420</v>
      </c>
      <c r="B1298" t="s">
        <v>36</v>
      </c>
      <c r="C1298" s="1">
        <v>44532.271527777775</v>
      </c>
      <c r="D1298" s="1"/>
      <c r="E1298" s="17">
        <f ca="1">IF(Tablo2[[#This Row],[Başlangıç]]="","",(IF(Tablo2[[#This Row],[Bitiş]]="",($G$1-Tablo2[[#This Row],[Başlangıç]])*24,(Tablo2[[#This Row],[Bitiş]]-Tablo2[[#This Row],[Başlangıç]])*24)))</f>
        <v>3449.4833333333954</v>
      </c>
    </row>
    <row r="1299" spans="1:5" x14ac:dyDescent="0.3">
      <c r="A1299">
        <v>420</v>
      </c>
      <c r="B1299" t="s">
        <v>84</v>
      </c>
      <c r="C1299" s="1"/>
      <c r="D1299" s="1"/>
      <c r="E129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0" spans="1:5" x14ac:dyDescent="0.3">
      <c r="A1300">
        <v>420</v>
      </c>
      <c r="B1300" t="s">
        <v>179</v>
      </c>
      <c r="C1300" s="1">
        <v>44532.271527777775</v>
      </c>
      <c r="D1300" s="1">
        <v>44532.292361111111</v>
      </c>
      <c r="E130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01" spans="1:5" x14ac:dyDescent="0.3">
      <c r="A1301">
        <v>420</v>
      </c>
      <c r="B1301" t="s">
        <v>68</v>
      </c>
      <c r="C1301" s="1"/>
      <c r="D1301" s="1"/>
      <c r="E130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2" spans="1:5" x14ac:dyDescent="0.3">
      <c r="A1302">
        <v>420</v>
      </c>
      <c r="B1302" t="s">
        <v>37</v>
      </c>
      <c r="C1302" s="1">
        <v>44533.4375</v>
      </c>
      <c r="D1302" s="1">
        <v>44541.135416666664</v>
      </c>
      <c r="E1302" s="17">
        <f>IF(Tablo2[[#This Row],[Başlangıç]]="","",(IF(Tablo2[[#This Row],[Bitiş]]="",($G$1-Tablo2[[#This Row],[Başlangıç]])*24,(Tablo2[[#This Row],[Bitiş]]-Tablo2[[#This Row],[Başlangıç]])*24)))</f>
        <v>184.74999999994179</v>
      </c>
    </row>
    <row r="1303" spans="1:5" x14ac:dyDescent="0.3">
      <c r="A1303">
        <v>420</v>
      </c>
      <c r="B1303" t="s">
        <v>65</v>
      </c>
      <c r="C1303" s="1"/>
      <c r="D1303" s="1"/>
      <c r="E130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4" spans="1:5" x14ac:dyDescent="0.3">
      <c r="A1304">
        <v>421</v>
      </c>
      <c r="B1304" t="s">
        <v>36</v>
      </c>
      <c r="C1304" s="1">
        <v>44533.854166666664</v>
      </c>
      <c r="D1304" s="1"/>
      <c r="E1304" s="17">
        <f ca="1">IF(Tablo2[[#This Row],[Başlangıç]]="","",(IF(Tablo2[[#This Row],[Bitiş]]="",($G$1-Tablo2[[#This Row],[Başlangıç]])*24,(Tablo2[[#This Row],[Bitiş]]-Tablo2[[#This Row],[Başlangıç]])*24)))</f>
        <v>3411.5000000000582</v>
      </c>
    </row>
    <row r="1305" spans="1:5" x14ac:dyDescent="0.3">
      <c r="A1305">
        <v>421</v>
      </c>
      <c r="B1305" t="s">
        <v>84</v>
      </c>
      <c r="C1305" s="1"/>
      <c r="D1305" s="1"/>
      <c r="E13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6" spans="1:5" x14ac:dyDescent="0.3">
      <c r="A1306">
        <v>421</v>
      </c>
      <c r="B1306" t="s">
        <v>179</v>
      </c>
      <c r="C1306" s="1">
        <v>44533.854166666664</v>
      </c>
      <c r="D1306" s="1">
        <v>44533.875</v>
      </c>
      <c r="E130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07" spans="1:5" x14ac:dyDescent="0.3">
      <c r="A1307">
        <v>421</v>
      </c>
      <c r="B1307" t="s">
        <v>68</v>
      </c>
      <c r="C1307" s="1"/>
      <c r="D1307" s="1"/>
      <c r="E130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8" spans="1:5" x14ac:dyDescent="0.3">
      <c r="A1308">
        <v>421</v>
      </c>
      <c r="B1308" t="s">
        <v>37</v>
      </c>
      <c r="C1308" s="1"/>
      <c r="D1308" s="1"/>
      <c r="E1308" s="17" t="str">
        <f>IF(Tablo2[[#This Row],[Başlangıç]]="","",(IF(Tablo2[[#This Row],[Bitiş]]="",($G$1-Tablo2[[#This Row],[Başlangıç]])*24,(Tablo2[[#This Row],[Bitiş]]-Tablo2[[#This Row],[Başlangıç]])*24)))</f>
        <v/>
      </c>
    </row>
    <row r="1309" spans="1:5" x14ac:dyDescent="0.3">
      <c r="A1309">
        <v>421</v>
      </c>
      <c r="B1309" t="s">
        <v>65</v>
      </c>
      <c r="C1309" s="1"/>
      <c r="D1309" s="1"/>
      <c r="E130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10" spans="1:5" x14ac:dyDescent="0.3">
      <c r="A1310">
        <v>422</v>
      </c>
      <c r="B1310" t="s">
        <v>36</v>
      </c>
      <c r="C1310" s="1">
        <v>44533.495138888888</v>
      </c>
      <c r="D1310" s="1"/>
      <c r="E1310" s="17">
        <f ca="1">IF(Tablo2[[#This Row],[Başlangıç]]="","",(IF(Tablo2[[#This Row],[Bitiş]]="",($G$1-Tablo2[[#This Row],[Başlangıç]])*24,(Tablo2[[#This Row],[Bitiş]]-Tablo2[[#This Row],[Başlangıç]])*24)))</f>
        <v>3420.1166666666977</v>
      </c>
    </row>
    <row r="1311" spans="1:5" x14ac:dyDescent="0.3">
      <c r="A1311">
        <v>422</v>
      </c>
      <c r="B1311" t="s">
        <v>84</v>
      </c>
      <c r="C1311" s="1"/>
      <c r="D1311" s="1"/>
      <c r="E13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12" spans="1:5" x14ac:dyDescent="0.3">
      <c r="A1312">
        <v>422</v>
      </c>
      <c r="B1312" t="s">
        <v>179</v>
      </c>
      <c r="C1312" s="1">
        <v>44533.495138888888</v>
      </c>
      <c r="D1312" s="1">
        <v>44533.515972222223</v>
      </c>
      <c r="E131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13" spans="1:5" x14ac:dyDescent="0.3">
      <c r="A1313">
        <v>422</v>
      </c>
      <c r="B1313" t="s">
        <v>68</v>
      </c>
      <c r="C1313" s="1"/>
      <c r="D1313" s="1"/>
      <c r="E131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14" spans="1:5" x14ac:dyDescent="0.3">
      <c r="A1314">
        <v>422</v>
      </c>
      <c r="B1314" t="s">
        <v>37</v>
      </c>
      <c r="C1314" s="1">
        <v>44536.149305555555</v>
      </c>
      <c r="D1314" s="1">
        <v>44536.388888888891</v>
      </c>
      <c r="E1314" s="17">
        <f>IF(Tablo2[[#This Row],[Başlangıç]]="","",(IF(Tablo2[[#This Row],[Bitiş]]="",($G$1-Tablo2[[#This Row],[Başlangıç]])*24,(Tablo2[[#This Row],[Bitiş]]-Tablo2[[#This Row],[Başlangıç]])*24)))</f>
        <v>5.7500000000582077</v>
      </c>
    </row>
    <row r="1315" spans="1:5" x14ac:dyDescent="0.3">
      <c r="A1315">
        <v>422</v>
      </c>
      <c r="B1315" t="s">
        <v>65</v>
      </c>
      <c r="C1315" s="1"/>
      <c r="D1315" s="1"/>
      <c r="E13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16" spans="1:5" x14ac:dyDescent="0.3">
      <c r="A1316">
        <v>423</v>
      </c>
      <c r="B1316" t="s">
        <v>36</v>
      </c>
      <c r="C1316" s="1">
        <v>44533.575694444444</v>
      </c>
      <c r="D1316" s="1"/>
      <c r="E1316" s="17">
        <f ca="1">IF(Tablo2[[#This Row],[Başlangıç]]="","",(IF(Tablo2[[#This Row],[Bitiş]]="",($G$1-Tablo2[[#This Row],[Başlangıç]])*24,(Tablo2[[#This Row],[Bitiş]]-Tablo2[[#This Row],[Başlangıç]])*24)))</f>
        <v>3418.1833333333489</v>
      </c>
    </row>
    <row r="1317" spans="1:5" x14ac:dyDescent="0.3">
      <c r="A1317">
        <v>423</v>
      </c>
      <c r="B1317" t="s">
        <v>84</v>
      </c>
      <c r="C1317" s="1"/>
      <c r="D1317" s="1"/>
      <c r="E131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18" spans="1:5" x14ac:dyDescent="0.3">
      <c r="A1318">
        <v>423</v>
      </c>
      <c r="B1318" t="s">
        <v>179</v>
      </c>
      <c r="C1318" s="1">
        <v>44533.575694444444</v>
      </c>
      <c r="D1318" s="1">
        <v>44533.59652777778</v>
      </c>
      <c r="E131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19" spans="1:5" x14ac:dyDescent="0.3">
      <c r="A1319">
        <v>423</v>
      </c>
      <c r="B1319" t="s">
        <v>68</v>
      </c>
      <c r="C1319" s="1"/>
      <c r="D1319" s="1"/>
      <c r="E131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0" spans="1:5" x14ac:dyDescent="0.3">
      <c r="A1320">
        <v>423</v>
      </c>
      <c r="B1320" t="s">
        <v>37</v>
      </c>
      <c r="C1320" s="1">
        <v>44535.03125</v>
      </c>
      <c r="D1320" s="1">
        <v>44537.75</v>
      </c>
      <c r="E1320" s="17">
        <f>IF(Tablo2[[#This Row],[Başlangıç]]="","",(IF(Tablo2[[#This Row],[Bitiş]]="",($G$1-Tablo2[[#This Row],[Başlangıç]])*24,(Tablo2[[#This Row],[Bitiş]]-Tablo2[[#This Row],[Başlangıç]])*24)))</f>
        <v>65.25</v>
      </c>
    </row>
    <row r="1321" spans="1:5" x14ac:dyDescent="0.3">
      <c r="A1321">
        <v>423</v>
      </c>
      <c r="B1321" t="s">
        <v>65</v>
      </c>
      <c r="C1321" s="1"/>
      <c r="D1321" s="1"/>
      <c r="E13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2" spans="1:5" x14ac:dyDescent="0.3">
      <c r="A1322">
        <v>424</v>
      </c>
      <c r="B1322" t="s">
        <v>36</v>
      </c>
      <c r="C1322" s="1">
        <v>44534.044444444444</v>
      </c>
      <c r="D1322" s="1"/>
      <c r="E1322" s="17">
        <f ca="1">IF(Tablo2[[#This Row],[Başlangıç]]="","",(IF(Tablo2[[#This Row],[Bitiş]]="",($G$1-Tablo2[[#This Row],[Başlangıç]])*24,(Tablo2[[#This Row],[Bitiş]]-Tablo2[[#This Row],[Başlangıç]])*24)))</f>
        <v>3406.9333333333489</v>
      </c>
    </row>
    <row r="1323" spans="1:5" x14ac:dyDescent="0.3">
      <c r="A1323">
        <v>424</v>
      </c>
      <c r="B1323" t="s">
        <v>84</v>
      </c>
      <c r="C1323" s="1"/>
      <c r="D1323" s="1"/>
      <c r="E13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4" spans="1:5" x14ac:dyDescent="0.3">
      <c r="A1324">
        <v>424</v>
      </c>
      <c r="B1324" t="s">
        <v>179</v>
      </c>
      <c r="C1324" s="1">
        <v>44534.044444444444</v>
      </c>
      <c r="D1324" s="1">
        <v>44534.06527777778</v>
      </c>
      <c r="E13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25" spans="1:5" x14ac:dyDescent="0.3">
      <c r="A1325">
        <v>424</v>
      </c>
      <c r="B1325" t="s">
        <v>68</v>
      </c>
      <c r="C1325" s="1"/>
      <c r="D1325" s="1"/>
      <c r="E132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6" spans="1:5" x14ac:dyDescent="0.3">
      <c r="A1326">
        <v>424</v>
      </c>
      <c r="B1326" t="s">
        <v>37</v>
      </c>
      <c r="C1326" s="1">
        <v>44537.597222222219</v>
      </c>
      <c r="D1326" s="1">
        <v>44541.043749999997</v>
      </c>
      <c r="E1326" s="17">
        <f>IF(Tablo2[[#This Row],[Başlangıç]]="","",(IF(Tablo2[[#This Row],[Bitiş]]="",($G$1-Tablo2[[#This Row],[Başlangıç]])*24,(Tablo2[[#This Row],[Bitiş]]-Tablo2[[#This Row],[Başlangıç]])*24)))</f>
        <v>82.716666666674428</v>
      </c>
    </row>
    <row r="1327" spans="1:5" x14ac:dyDescent="0.3">
      <c r="A1327">
        <v>424</v>
      </c>
      <c r="B1327" t="s">
        <v>65</v>
      </c>
      <c r="C1327" s="1"/>
      <c r="D1327" s="1"/>
      <c r="E132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28" spans="1:5" x14ac:dyDescent="0.3">
      <c r="A1328">
        <v>425</v>
      </c>
      <c r="B1328" t="s">
        <v>36</v>
      </c>
      <c r="C1328" s="1">
        <v>44534.380555555559</v>
      </c>
      <c r="D1328" s="1"/>
      <c r="E1328" s="17">
        <f ca="1">IF(Tablo2[[#This Row],[Başlangıç]]="","",(IF(Tablo2[[#This Row],[Bitiş]]="",($G$1-Tablo2[[#This Row],[Başlangıç]])*24,(Tablo2[[#This Row],[Bitiş]]-Tablo2[[#This Row],[Başlangıç]])*24)))</f>
        <v>3398.8666666665813</v>
      </c>
    </row>
    <row r="1329" spans="1:5" x14ac:dyDescent="0.3">
      <c r="A1329">
        <v>425</v>
      </c>
      <c r="B1329" t="s">
        <v>84</v>
      </c>
      <c r="C1329" s="1"/>
      <c r="D1329" s="1"/>
      <c r="E132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0" spans="1:5" x14ac:dyDescent="0.3">
      <c r="A1330">
        <v>425</v>
      </c>
      <c r="B1330" t="s">
        <v>179</v>
      </c>
      <c r="C1330" s="1">
        <v>44534.380555555559</v>
      </c>
      <c r="D1330" s="1">
        <v>44534.401388888888</v>
      </c>
      <c r="E133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31" spans="1:5" x14ac:dyDescent="0.3">
      <c r="A1331">
        <v>425</v>
      </c>
      <c r="B1331" t="s">
        <v>68</v>
      </c>
      <c r="C1331" s="1"/>
      <c r="D1331" s="1"/>
      <c r="E133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2" spans="1:5" x14ac:dyDescent="0.3">
      <c r="A1332">
        <v>425</v>
      </c>
      <c r="B1332" t="s">
        <v>37</v>
      </c>
      <c r="C1332" s="1">
        <v>44537.022222222222</v>
      </c>
      <c r="D1332" s="1">
        <v>44538.972222222219</v>
      </c>
      <c r="E1332" s="17">
        <f>IF(Tablo2[[#This Row],[Başlangıç]]="","",(IF(Tablo2[[#This Row],[Bitiş]]="",($G$1-Tablo2[[#This Row],[Başlangıç]])*24,(Tablo2[[#This Row],[Bitiş]]-Tablo2[[#This Row],[Başlangıç]])*24)))</f>
        <v>46.799999999930151</v>
      </c>
    </row>
    <row r="1333" spans="1:5" x14ac:dyDescent="0.3">
      <c r="A1333">
        <v>425</v>
      </c>
      <c r="B1333" t="s">
        <v>65</v>
      </c>
      <c r="C1333" s="1"/>
      <c r="D1333" s="1"/>
      <c r="E133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4" spans="1:5" x14ac:dyDescent="0.3">
      <c r="A1334">
        <v>426</v>
      </c>
      <c r="B1334" t="s">
        <v>36</v>
      </c>
      <c r="C1334" s="1">
        <v>44535</v>
      </c>
      <c r="D1334" s="1"/>
      <c r="E1334" s="17">
        <f ca="1">IF(Tablo2[[#This Row],[Başlangıç]]="","",(IF(Tablo2[[#This Row],[Bitiş]]="",($G$1-Tablo2[[#This Row],[Başlangıç]])*24,(Tablo2[[#This Row],[Bitiş]]-Tablo2[[#This Row],[Başlangıç]])*24)))</f>
        <v>3384</v>
      </c>
    </row>
    <row r="1335" spans="1:5" x14ac:dyDescent="0.3">
      <c r="A1335">
        <v>426</v>
      </c>
      <c r="B1335" t="s">
        <v>84</v>
      </c>
      <c r="C1335" s="1"/>
      <c r="D1335" s="1"/>
      <c r="E133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6" spans="1:5" x14ac:dyDescent="0.3">
      <c r="A1336">
        <v>426</v>
      </c>
      <c r="B1336" t="s">
        <v>179</v>
      </c>
      <c r="C1336" s="1">
        <v>44535</v>
      </c>
      <c r="D1336" s="1">
        <v>44535.020833333336</v>
      </c>
      <c r="E13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37" spans="1:5" x14ac:dyDescent="0.3">
      <c r="A1337">
        <v>426</v>
      </c>
      <c r="B1337" t="s">
        <v>68</v>
      </c>
      <c r="C1337" s="1"/>
      <c r="D1337" s="1"/>
      <c r="E133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38" spans="1:5" x14ac:dyDescent="0.3">
      <c r="A1338">
        <v>426</v>
      </c>
      <c r="B1338" t="s">
        <v>37</v>
      </c>
      <c r="C1338" s="1">
        <v>44536.375</v>
      </c>
      <c r="D1338" s="1">
        <v>44537.246527777781</v>
      </c>
      <c r="E1338" s="17">
        <f>IF(Tablo2[[#This Row],[Başlangıç]]="","",(IF(Tablo2[[#This Row],[Bitiş]]="",($G$1-Tablo2[[#This Row],[Başlangıç]])*24,(Tablo2[[#This Row],[Bitiş]]-Tablo2[[#This Row],[Başlangıç]])*24)))</f>
        <v>20.916666666744277</v>
      </c>
    </row>
    <row r="1339" spans="1:5" x14ac:dyDescent="0.3">
      <c r="A1339">
        <v>426</v>
      </c>
      <c r="B1339" t="s">
        <v>65</v>
      </c>
      <c r="C1339" s="1"/>
      <c r="D1339" s="1"/>
      <c r="E133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0" spans="1:5" x14ac:dyDescent="0.3">
      <c r="A1340">
        <v>427</v>
      </c>
      <c r="B1340" t="s">
        <v>36</v>
      </c>
      <c r="C1340" s="1">
        <v>44535.111111111109</v>
      </c>
      <c r="D1340" s="1"/>
      <c r="E1340" s="17">
        <f ca="1">IF(Tablo2[[#This Row],[Başlangıç]]="","",(IF(Tablo2[[#This Row],[Bitiş]]="",($G$1-Tablo2[[#This Row],[Başlangıç]])*24,(Tablo2[[#This Row],[Bitiş]]-Tablo2[[#This Row],[Başlangıç]])*24)))</f>
        <v>3381.3333333333721</v>
      </c>
    </row>
    <row r="1341" spans="1:5" x14ac:dyDescent="0.3">
      <c r="A1341">
        <v>427</v>
      </c>
      <c r="B1341" t="s">
        <v>84</v>
      </c>
      <c r="C1341" s="1"/>
      <c r="D1341" s="1"/>
      <c r="E134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2" spans="1:5" x14ac:dyDescent="0.3">
      <c r="A1342">
        <v>427</v>
      </c>
      <c r="B1342" t="s">
        <v>179</v>
      </c>
      <c r="C1342" s="1">
        <v>44535.111111111109</v>
      </c>
      <c r="D1342" s="1">
        <v>44535.131944444445</v>
      </c>
      <c r="E134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43" spans="1:5" x14ac:dyDescent="0.3">
      <c r="A1343">
        <v>427</v>
      </c>
      <c r="B1343" t="s">
        <v>68</v>
      </c>
      <c r="C1343" s="1"/>
      <c r="D1343" s="1"/>
      <c r="E134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4" spans="1:5" x14ac:dyDescent="0.3">
      <c r="A1344">
        <v>427</v>
      </c>
      <c r="B1344" t="s">
        <v>37</v>
      </c>
      <c r="C1344" s="1">
        <v>44538.739583333336</v>
      </c>
      <c r="D1344" s="1">
        <v>44538.986111111109</v>
      </c>
      <c r="E1344" s="17">
        <f>IF(Tablo2[[#This Row],[Başlangıç]]="","",(IF(Tablo2[[#This Row],[Bitiş]]="",($G$1-Tablo2[[#This Row],[Başlangıç]])*24,(Tablo2[[#This Row],[Bitiş]]-Tablo2[[#This Row],[Başlangıç]])*24)))</f>
        <v>5.9166666665696539</v>
      </c>
    </row>
    <row r="1345" spans="1:5" x14ac:dyDescent="0.3">
      <c r="A1345">
        <v>427</v>
      </c>
      <c r="B1345" t="s">
        <v>65</v>
      </c>
      <c r="C1345" s="1"/>
      <c r="D1345" s="1"/>
      <c r="E134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6" spans="1:5" x14ac:dyDescent="0.3">
      <c r="A1346">
        <v>428</v>
      </c>
      <c r="B1346" t="s">
        <v>36</v>
      </c>
      <c r="C1346" s="1">
        <v>44536.083333333336</v>
      </c>
      <c r="D1346" s="1"/>
      <c r="E1346" s="17">
        <f ca="1">IF(Tablo2[[#This Row],[Başlangıç]]="","",(IF(Tablo2[[#This Row],[Bitiş]]="",($G$1-Tablo2[[#This Row],[Başlangıç]])*24,(Tablo2[[#This Row],[Bitiş]]-Tablo2[[#This Row],[Başlangıç]])*24)))</f>
        <v>3357.9999999999418</v>
      </c>
    </row>
    <row r="1347" spans="1:5" x14ac:dyDescent="0.3">
      <c r="A1347">
        <v>428</v>
      </c>
      <c r="B1347" t="s">
        <v>84</v>
      </c>
      <c r="C1347" s="1"/>
      <c r="D1347" s="1"/>
      <c r="E134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48" spans="1:5" x14ac:dyDescent="0.3">
      <c r="A1348">
        <v>428</v>
      </c>
      <c r="B1348" t="s">
        <v>179</v>
      </c>
      <c r="C1348" s="1">
        <v>44536.083333333336</v>
      </c>
      <c r="D1348" s="1">
        <v>44536.104166666664</v>
      </c>
      <c r="E134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49" spans="1:5" x14ac:dyDescent="0.3">
      <c r="A1349">
        <v>428</v>
      </c>
      <c r="B1349" t="s">
        <v>68</v>
      </c>
      <c r="C1349" s="1"/>
      <c r="D1349" s="1"/>
      <c r="E134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0" spans="1:5" x14ac:dyDescent="0.3">
      <c r="A1350">
        <v>428</v>
      </c>
      <c r="B1350" t="s">
        <v>37</v>
      </c>
      <c r="C1350" s="1">
        <v>44537.010416666664</v>
      </c>
      <c r="D1350" s="1">
        <v>44539.993055555555</v>
      </c>
      <c r="E1350" s="17">
        <f>IF(Tablo2[[#This Row],[Başlangıç]]="","",(IF(Tablo2[[#This Row],[Bitiş]]="",($G$1-Tablo2[[#This Row],[Başlangıç]])*24,(Tablo2[[#This Row],[Bitiş]]-Tablo2[[#This Row],[Başlangıç]])*24)))</f>
        <v>71.583333333372138</v>
      </c>
    </row>
    <row r="1351" spans="1:5" x14ac:dyDescent="0.3">
      <c r="A1351">
        <v>428</v>
      </c>
      <c r="B1351" t="s">
        <v>65</v>
      </c>
      <c r="C1351" s="1"/>
      <c r="D1351" s="1"/>
      <c r="E135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2" spans="1:5" x14ac:dyDescent="0.3">
      <c r="A1352">
        <v>429</v>
      </c>
      <c r="B1352" t="s">
        <v>36</v>
      </c>
      <c r="C1352" s="1">
        <v>44537.072916666664</v>
      </c>
      <c r="D1352" s="1"/>
      <c r="E1352" s="17">
        <f ca="1">IF(Tablo2[[#This Row],[Başlangıç]]="","",(IF(Tablo2[[#This Row],[Bitiş]]="",($G$1-Tablo2[[#This Row],[Başlangıç]])*24,(Tablo2[[#This Row],[Bitiş]]-Tablo2[[#This Row],[Başlangıç]])*24)))</f>
        <v>3334.2500000000582</v>
      </c>
    </row>
    <row r="1353" spans="1:5" x14ac:dyDescent="0.3">
      <c r="A1353">
        <v>429</v>
      </c>
      <c r="B1353" t="s">
        <v>84</v>
      </c>
      <c r="C1353" s="1"/>
      <c r="D1353" s="1"/>
      <c r="E13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4" spans="1:5" x14ac:dyDescent="0.3">
      <c r="A1354">
        <v>429</v>
      </c>
      <c r="B1354" t="s">
        <v>179</v>
      </c>
      <c r="C1354" s="1">
        <v>44537.072916666664</v>
      </c>
      <c r="D1354" s="1">
        <v>44537.09375</v>
      </c>
      <c r="E135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55" spans="1:5" x14ac:dyDescent="0.3">
      <c r="A1355">
        <v>429</v>
      </c>
      <c r="B1355" t="s">
        <v>68</v>
      </c>
      <c r="C1355" s="1"/>
      <c r="D1355" s="1"/>
      <c r="E135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6" spans="1:5" x14ac:dyDescent="0.3">
      <c r="A1356">
        <v>429</v>
      </c>
      <c r="B1356" t="s">
        <v>37</v>
      </c>
      <c r="C1356" s="1">
        <v>44538.604166666664</v>
      </c>
      <c r="D1356" s="1">
        <v>44540.277777777781</v>
      </c>
      <c r="E1356" s="17">
        <f>IF(Tablo2[[#This Row],[Başlangıç]]="","",(IF(Tablo2[[#This Row],[Bitiş]]="",($G$1-Tablo2[[#This Row],[Başlangıç]])*24,(Tablo2[[#This Row],[Bitiş]]-Tablo2[[#This Row],[Başlangıç]])*24)))</f>
        <v>40.166666666802485</v>
      </c>
    </row>
    <row r="1357" spans="1:5" x14ac:dyDescent="0.3">
      <c r="A1357">
        <v>429</v>
      </c>
      <c r="B1357" t="s">
        <v>65</v>
      </c>
      <c r="C1357" s="1"/>
      <c r="D1357" s="1"/>
      <c r="E135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58" spans="1:5" x14ac:dyDescent="0.3">
      <c r="A1358">
        <v>430</v>
      </c>
      <c r="B1358" t="s">
        <v>36</v>
      </c>
      <c r="C1358" s="1">
        <v>44536.583333333336</v>
      </c>
      <c r="D1358" s="1"/>
      <c r="E1358" s="17">
        <f ca="1">IF(Tablo2[[#This Row],[Başlangıç]]="","",(IF(Tablo2[[#This Row],[Bitiş]]="",($G$1-Tablo2[[#This Row],[Başlangıç]])*24,(Tablo2[[#This Row],[Bitiş]]-Tablo2[[#This Row],[Başlangıç]])*24)))</f>
        <v>3345.9999999999418</v>
      </c>
    </row>
    <row r="1359" spans="1:5" x14ac:dyDescent="0.3">
      <c r="A1359">
        <v>430</v>
      </c>
      <c r="B1359" t="s">
        <v>84</v>
      </c>
      <c r="C1359" s="1"/>
      <c r="D1359" s="1"/>
      <c r="E135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0" spans="1:5" x14ac:dyDescent="0.3">
      <c r="A1360">
        <v>430</v>
      </c>
      <c r="B1360" t="s">
        <v>179</v>
      </c>
      <c r="C1360" s="1">
        <v>44536.583333333336</v>
      </c>
      <c r="D1360" s="1">
        <v>44536.604166666664</v>
      </c>
      <c r="E136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61" spans="1:5" x14ac:dyDescent="0.3">
      <c r="A1361">
        <v>430</v>
      </c>
      <c r="B1361" t="s">
        <v>68</v>
      </c>
      <c r="C1361" s="1"/>
      <c r="D1361" s="1"/>
      <c r="E136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2" spans="1:5" x14ac:dyDescent="0.3">
      <c r="A1362">
        <v>430</v>
      </c>
      <c r="B1362" t="s">
        <v>37</v>
      </c>
      <c r="C1362" s="1">
        <v>44537.75</v>
      </c>
      <c r="D1362" s="1">
        <v>44538.341666666667</v>
      </c>
      <c r="E1362" s="17">
        <f>IF(Tablo2[[#This Row],[Başlangıç]]="","",(IF(Tablo2[[#This Row],[Bitiş]]="",($G$1-Tablo2[[#This Row],[Başlangıç]])*24,(Tablo2[[#This Row],[Bitiş]]-Tablo2[[#This Row],[Başlangıç]])*24)))</f>
        <v>14.200000000011642</v>
      </c>
    </row>
    <row r="1363" spans="1:5" x14ac:dyDescent="0.3">
      <c r="A1363">
        <v>430</v>
      </c>
      <c r="B1363" t="s">
        <v>65</v>
      </c>
      <c r="C1363" s="1"/>
      <c r="D1363" s="1"/>
      <c r="E136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4" spans="1:5" x14ac:dyDescent="0.3">
      <c r="A1364">
        <v>431</v>
      </c>
      <c r="B1364" t="s">
        <v>36</v>
      </c>
      <c r="C1364" s="1">
        <v>44539.708333333336</v>
      </c>
      <c r="D1364" s="1"/>
      <c r="E1364" s="17">
        <f ca="1">IF(Tablo2[[#This Row],[Başlangıç]]="","",(IF(Tablo2[[#This Row],[Bitiş]]="",($G$1-Tablo2[[#This Row],[Başlangıç]])*24,(Tablo2[[#This Row],[Bitiş]]-Tablo2[[#This Row],[Başlangıç]])*24)))</f>
        <v>3270.9999999999418</v>
      </c>
    </row>
    <row r="1365" spans="1:5" x14ac:dyDescent="0.3">
      <c r="A1365">
        <v>431</v>
      </c>
      <c r="B1365" t="s">
        <v>84</v>
      </c>
      <c r="C1365" s="1"/>
      <c r="D1365" s="1"/>
      <c r="E136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6" spans="1:5" x14ac:dyDescent="0.3">
      <c r="A1366">
        <v>431</v>
      </c>
      <c r="B1366" t="s">
        <v>179</v>
      </c>
      <c r="C1366" s="1">
        <v>44539.708333333336</v>
      </c>
      <c r="D1366" s="1">
        <v>44539.729166666664</v>
      </c>
      <c r="E136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67" spans="1:5" x14ac:dyDescent="0.3">
      <c r="A1367">
        <v>431</v>
      </c>
      <c r="B1367" t="s">
        <v>68</v>
      </c>
      <c r="C1367" s="1"/>
      <c r="D1367" s="1"/>
      <c r="E136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68" spans="1:5" x14ac:dyDescent="0.3">
      <c r="A1368">
        <v>431</v>
      </c>
      <c r="B1368" t="s">
        <v>37</v>
      </c>
      <c r="C1368" s="1">
        <v>44539.958333333336</v>
      </c>
      <c r="D1368" s="1">
        <v>44540.28125</v>
      </c>
      <c r="E1368" s="17">
        <f>IF(Tablo2[[#This Row],[Başlangıç]]="","",(IF(Tablo2[[#This Row],[Bitiş]]="",($G$1-Tablo2[[#This Row],[Başlangıç]])*24,(Tablo2[[#This Row],[Bitiş]]-Tablo2[[#This Row],[Başlangıç]])*24)))</f>
        <v>7.7499999999417923</v>
      </c>
    </row>
    <row r="1369" spans="1:5" x14ac:dyDescent="0.3">
      <c r="A1369">
        <v>431</v>
      </c>
      <c r="B1369" t="s">
        <v>65</v>
      </c>
      <c r="C1369" s="1"/>
      <c r="D1369" s="1"/>
      <c r="E136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70" spans="1:5" x14ac:dyDescent="0.3">
      <c r="A1370">
        <v>432</v>
      </c>
      <c r="B1370" t="s">
        <v>36</v>
      </c>
      <c r="C1370" s="1">
        <v>44539.333333333336</v>
      </c>
      <c r="D1370" s="1"/>
      <c r="E1370" s="17">
        <f ca="1">IF(Tablo2[[#This Row],[Başlangıç]]="","",(IF(Tablo2[[#This Row],[Bitiş]]="",($G$1-Tablo2[[#This Row],[Başlangıç]])*24,(Tablo2[[#This Row],[Bitiş]]-Tablo2[[#This Row],[Başlangıç]])*24)))</f>
        <v>3279.9999999999418</v>
      </c>
    </row>
    <row r="1371" spans="1:5" x14ac:dyDescent="0.3">
      <c r="A1371">
        <v>432</v>
      </c>
      <c r="B1371" t="s">
        <v>84</v>
      </c>
      <c r="C1371" s="1"/>
      <c r="D1371" s="1"/>
      <c r="E137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72" spans="1:5" x14ac:dyDescent="0.3">
      <c r="A1372">
        <v>432</v>
      </c>
      <c r="B1372" t="s">
        <v>179</v>
      </c>
      <c r="C1372" s="1">
        <v>44539.333333333336</v>
      </c>
      <c r="D1372" s="1">
        <v>44539.354166666664</v>
      </c>
      <c r="E137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373" spans="1:5" x14ac:dyDescent="0.3">
      <c r="A1373">
        <v>432</v>
      </c>
      <c r="B1373" t="s">
        <v>68</v>
      </c>
      <c r="C1373" s="1"/>
      <c r="D1373" s="1"/>
      <c r="E137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74" spans="1:5" x14ac:dyDescent="0.3">
      <c r="A1374">
        <v>432</v>
      </c>
      <c r="B1374" t="s">
        <v>37</v>
      </c>
      <c r="C1374" s="1">
        <v>44540.774305555555</v>
      </c>
      <c r="D1374" s="1">
        <v>44543.055555555555</v>
      </c>
      <c r="E1374" s="17">
        <f>IF(Tablo2[[#This Row],[Başlangıç]]="","",(IF(Tablo2[[#This Row],[Bitiş]]="",($G$1-Tablo2[[#This Row],[Başlangıç]])*24,(Tablo2[[#This Row],[Bitiş]]-Tablo2[[#This Row],[Başlangıç]])*24)))</f>
        <v>54.75</v>
      </c>
    </row>
    <row r="1375" spans="1:5" x14ac:dyDescent="0.3">
      <c r="A1375">
        <v>432</v>
      </c>
      <c r="B1375" t="s">
        <v>65</v>
      </c>
      <c r="C1375" s="1"/>
      <c r="D1375" s="1"/>
      <c r="E137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76" spans="1:5" x14ac:dyDescent="0.3">
      <c r="A1376">
        <v>433</v>
      </c>
      <c r="B1376" t="s">
        <v>36</v>
      </c>
      <c r="C1376" s="1">
        <v>44539.290277777778</v>
      </c>
      <c r="D1376" s="1"/>
      <c r="E1376" s="17">
        <f ca="1">IF(Tablo2[[#This Row],[Başlangıç]]="","",(IF(Tablo2[[#This Row],[Bitiş]]="",($G$1-Tablo2[[#This Row],[Başlangıç]])*24,(Tablo2[[#This Row],[Bitiş]]-Tablo2[[#This Row],[Başlangıç]])*24)))</f>
        <v>3281.0333333333256</v>
      </c>
    </row>
    <row r="1377" spans="1:5" x14ac:dyDescent="0.3">
      <c r="A1377">
        <v>433</v>
      </c>
      <c r="B1377" t="s">
        <v>84</v>
      </c>
      <c r="C1377" s="1"/>
      <c r="D1377" s="1"/>
      <c r="E137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78" spans="1:5" x14ac:dyDescent="0.3">
      <c r="A1378">
        <v>433</v>
      </c>
      <c r="B1378" t="s">
        <v>179</v>
      </c>
      <c r="C1378" s="1">
        <v>44539.290277777778</v>
      </c>
      <c r="D1378" s="1">
        <v>44539.311111111114</v>
      </c>
      <c r="E137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79" spans="1:5" x14ac:dyDescent="0.3">
      <c r="A1379">
        <v>433</v>
      </c>
      <c r="B1379" t="s">
        <v>68</v>
      </c>
      <c r="C1379" s="1"/>
      <c r="D1379" s="1"/>
      <c r="E137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0" spans="1:5" x14ac:dyDescent="0.3">
      <c r="A1380">
        <v>433</v>
      </c>
      <c r="B1380" t="s">
        <v>37</v>
      </c>
      <c r="C1380" s="1">
        <v>44541.125</v>
      </c>
      <c r="D1380" s="1">
        <v>44541.149305555555</v>
      </c>
      <c r="E1380" s="17">
        <f>IF(Tablo2[[#This Row],[Başlangıç]]="","",(IF(Tablo2[[#This Row],[Bitiş]]="",($G$1-Tablo2[[#This Row],[Başlangıç]])*24,(Tablo2[[#This Row],[Bitiş]]-Tablo2[[#This Row],[Başlangıç]])*24)))</f>
        <v>0.58333333331393078</v>
      </c>
    </row>
    <row r="1381" spans="1:5" x14ac:dyDescent="0.3">
      <c r="A1381">
        <v>433</v>
      </c>
      <c r="B1381" t="s">
        <v>65</v>
      </c>
      <c r="C1381" s="1"/>
      <c r="D1381" s="1"/>
      <c r="E138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2" spans="1:5" x14ac:dyDescent="0.3">
      <c r="A1382">
        <v>434</v>
      </c>
      <c r="B1382" t="s">
        <v>36</v>
      </c>
      <c r="C1382" s="1">
        <v>44541.416666666664</v>
      </c>
      <c r="D1382" s="1"/>
      <c r="E1382" s="17">
        <f ca="1">IF(Tablo2[[#This Row],[Başlangıç]]="","",(IF(Tablo2[[#This Row],[Bitiş]]="",($G$1-Tablo2[[#This Row],[Başlangıç]])*24,(Tablo2[[#This Row],[Bitiş]]-Tablo2[[#This Row],[Başlangıç]])*24)))</f>
        <v>3230.0000000000582</v>
      </c>
    </row>
    <row r="1383" spans="1:5" x14ac:dyDescent="0.3">
      <c r="A1383">
        <v>434</v>
      </c>
      <c r="B1383" t="s">
        <v>84</v>
      </c>
      <c r="C1383" s="1"/>
      <c r="D1383" s="1"/>
      <c r="E13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4" spans="1:5" x14ac:dyDescent="0.3">
      <c r="A1384">
        <v>434</v>
      </c>
      <c r="B1384" t="s">
        <v>179</v>
      </c>
      <c r="C1384" s="1">
        <v>44541.416666666664</v>
      </c>
      <c r="D1384" s="1">
        <v>44541.4375</v>
      </c>
      <c r="E138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85" spans="1:5" x14ac:dyDescent="0.3">
      <c r="A1385">
        <v>434</v>
      </c>
      <c r="B1385" t="s">
        <v>68</v>
      </c>
      <c r="C1385" s="1"/>
      <c r="D1385" s="1"/>
      <c r="E13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6" spans="1:5" x14ac:dyDescent="0.3">
      <c r="A1386">
        <v>434</v>
      </c>
      <c r="B1386" t="s">
        <v>37</v>
      </c>
      <c r="C1386" s="1">
        <v>44541.583333333336</v>
      </c>
      <c r="D1386" s="1">
        <v>44541.65625</v>
      </c>
      <c r="E1386" s="17">
        <f>IF(Tablo2[[#This Row],[Başlangıç]]="","",(IF(Tablo2[[#This Row],[Bitiş]]="",($G$1-Tablo2[[#This Row],[Başlangıç]])*24,(Tablo2[[#This Row],[Bitiş]]-Tablo2[[#This Row],[Başlangıç]])*24)))</f>
        <v>1.7499999999417923</v>
      </c>
    </row>
    <row r="1387" spans="1:5" x14ac:dyDescent="0.3">
      <c r="A1387">
        <v>434</v>
      </c>
      <c r="B1387" t="s">
        <v>65</v>
      </c>
      <c r="C1387" s="1"/>
      <c r="D1387" s="1"/>
      <c r="E138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88" spans="1:5" x14ac:dyDescent="0.3">
      <c r="A1388">
        <v>435</v>
      </c>
      <c r="B1388" t="s">
        <v>36</v>
      </c>
      <c r="C1388" s="1">
        <v>44541.5</v>
      </c>
      <c r="D1388" s="1"/>
      <c r="E1388" s="17">
        <f ca="1">IF(Tablo2[[#This Row],[Başlangıç]]="","",(IF(Tablo2[[#This Row],[Bitiş]]="",($G$1-Tablo2[[#This Row],[Başlangıç]])*24,(Tablo2[[#This Row],[Bitiş]]-Tablo2[[#This Row],[Başlangıç]])*24)))</f>
        <v>3228</v>
      </c>
    </row>
    <row r="1389" spans="1:5" x14ac:dyDescent="0.3">
      <c r="A1389">
        <v>435</v>
      </c>
      <c r="B1389" t="s">
        <v>84</v>
      </c>
      <c r="C1389" s="1"/>
      <c r="D1389" s="1"/>
      <c r="E1389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0" spans="1:5" x14ac:dyDescent="0.3">
      <c r="A1390">
        <v>435</v>
      </c>
      <c r="B1390" t="s">
        <v>179</v>
      </c>
      <c r="C1390" s="1">
        <v>44541.5</v>
      </c>
      <c r="D1390" s="1">
        <v>44541.520833333336</v>
      </c>
      <c r="E139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91" spans="1:5" x14ac:dyDescent="0.3">
      <c r="A1391">
        <v>435</v>
      </c>
      <c r="B1391" t="s">
        <v>68</v>
      </c>
      <c r="C1391" s="1"/>
      <c r="D1391" s="1"/>
      <c r="E1391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2" spans="1:5" x14ac:dyDescent="0.3">
      <c r="A1392">
        <v>435</v>
      </c>
      <c r="B1392" t="s">
        <v>37</v>
      </c>
      <c r="C1392" s="1">
        <v>44541.770833333336</v>
      </c>
      <c r="D1392" s="1">
        <v>44542.15625</v>
      </c>
      <c r="E1392" s="17">
        <f>IF(Tablo2[[#This Row],[Başlangıç]]="","",(IF(Tablo2[[#This Row],[Bitiş]]="",($G$1-Tablo2[[#This Row],[Başlangıç]])*24,(Tablo2[[#This Row],[Bitiş]]-Tablo2[[#This Row],[Başlangıç]])*24)))</f>
        <v>9.2499999999417923</v>
      </c>
    </row>
    <row r="1393" spans="1:5" x14ac:dyDescent="0.3">
      <c r="A1393">
        <v>435</v>
      </c>
      <c r="B1393" t="s">
        <v>65</v>
      </c>
      <c r="C1393" s="1"/>
      <c r="D1393" s="1"/>
      <c r="E1393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4" spans="1:5" x14ac:dyDescent="0.3">
      <c r="A1394">
        <v>436</v>
      </c>
      <c r="B1394" t="s">
        <v>36</v>
      </c>
      <c r="C1394" s="1">
        <v>44542.5</v>
      </c>
      <c r="D1394" s="1"/>
      <c r="E1394" s="17">
        <f ca="1">IF(Tablo2[[#This Row],[Başlangıç]]="","",(IF(Tablo2[[#This Row],[Bitiş]]="",($G$1-Tablo2[[#This Row],[Başlangıç]])*24,(Tablo2[[#This Row],[Bitiş]]-Tablo2[[#This Row],[Başlangıç]])*24)))</f>
        <v>3204</v>
      </c>
    </row>
    <row r="1395" spans="1:5" x14ac:dyDescent="0.3">
      <c r="A1395">
        <v>436</v>
      </c>
      <c r="B1395" t="s">
        <v>84</v>
      </c>
      <c r="C1395" s="1"/>
      <c r="D1395" s="1"/>
      <c r="E1395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6" spans="1:5" x14ac:dyDescent="0.3">
      <c r="A1396">
        <v>436</v>
      </c>
      <c r="B1396" t="s">
        <v>179</v>
      </c>
      <c r="C1396" s="1">
        <v>44542.5</v>
      </c>
      <c r="D1396" s="1">
        <v>44542.520833333336</v>
      </c>
      <c r="E139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397" spans="1:5" x14ac:dyDescent="0.3">
      <c r="A1397">
        <v>436</v>
      </c>
      <c r="B1397" t="s">
        <v>68</v>
      </c>
      <c r="C1397" s="1"/>
      <c r="D1397" s="1"/>
      <c r="E1397" s="17" t="str">
        <f>IF(Tablo2[[#This Row],[Başlangıç]]="","",(IF(Tablo2[[#This Row],[Bitiş]]="",($G$1-Tablo2[[#This Row],[Başlangıç]])*24,(Tablo2[[#This Row],[Bitiş]]-Tablo2[[#This Row],[Başlangıç]])*24)))</f>
        <v/>
      </c>
    </row>
    <row r="1398" spans="1:5" x14ac:dyDescent="0.3">
      <c r="A1398">
        <v>436</v>
      </c>
      <c r="B1398" t="s">
        <v>37</v>
      </c>
      <c r="C1398" s="1">
        <v>44543.020833333336</v>
      </c>
      <c r="D1398" s="1">
        <v>44543.128472222219</v>
      </c>
      <c r="E1398" s="17">
        <f>IF(Tablo2[[#This Row],[Başlangıç]]="","",(IF(Tablo2[[#This Row],[Bitiş]]="",($G$1-Tablo2[[#This Row],[Başlangıç]])*24,(Tablo2[[#This Row],[Bitiş]]-Tablo2[[#This Row],[Başlangıç]])*24)))</f>
        <v>2.5833333331975155</v>
      </c>
    </row>
    <row r="1399" spans="1:5" x14ac:dyDescent="0.3">
      <c r="A1399">
        <v>436</v>
      </c>
      <c r="B1399" t="s">
        <v>65</v>
      </c>
      <c r="C1399" s="1"/>
      <c r="D1399" s="1"/>
      <c r="E1399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0" spans="1:5" x14ac:dyDescent="0.3">
      <c r="A1400">
        <v>437</v>
      </c>
      <c r="B1400" t="s">
        <v>36</v>
      </c>
      <c r="C1400" s="1">
        <v>44542.5</v>
      </c>
      <c r="D1400" s="1"/>
      <c r="E1400" s="17">
        <f ca="1">IF(Tablo2[[#This Row],[Başlangıç]]="","",(IF(Tablo2[[#This Row],[Bitiş]]="",($G$1-Tablo2[[#This Row],[Başlangıç]])*24,(Tablo2[[#This Row],[Bitiş]]-Tablo2[[#This Row],[Başlangıç]])*24)))</f>
        <v>3204</v>
      </c>
    </row>
    <row r="1401" spans="1:5" x14ac:dyDescent="0.3">
      <c r="A1401">
        <v>437</v>
      </c>
      <c r="B1401" t="s">
        <v>84</v>
      </c>
      <c r="C1401" s="1"/>
      <c r="D1401" s="1"/>
      <c r="E1401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2" spans="1:5" x14ac:dyDescent="0.3">
      <c r="A1402">
        <v>437</v>
      </c>
      <c r="B1402" t="s">
        <v>179</v>
      </c>
      <c r="C1402" s="1">
        <v>44542.5</v>
      </c>
      <c r="D1402" s="1">
        <v>44542.520833333336</v>
      </c>
      <c r="E140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03" spans="1:5" x14ac:dyDescent="0.3">
      <c r="A1403">
        <v>437</v>
      </c>
      <c r="B1403" t="s">
        <v>68</v>
      </c>
      <c r="C1403" s="1"/>
      <c r="D1403" s="1"/>
      <c r="E1403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4" spans="1:5" x14ac:dyDescent="0.3">
      <c r="A1404">
        <v>437</v>
      </c>
      <c r="B1404" t="s">
        <v>37</v>
      </c>
      <c r="C1404" s="1">
        <v>44542.701388888891</v>
      </c>
      <c r="D1404" s="1">
        <v>44543.337500000001</v>
      </c>
      <c r="E1404" s="17">
        <f>IF(Tablo2[[#This Row],[Başlangıç]]="","",(IF(Tablo2[[#This Row],[Bitiş]]="",($G$1-Tablo2[[#This Row],[Başlangıç]])*24,(Tablo2[[#This Row],[Bitiş]]-Tablo2[[#This Row],[Başlangıç]])*24)))</f>
        <v>15.266666666662786</v>
      </c>
    </row>
    <row r="1405" spans="1:5" x14ac:dyDescent="0.3">
      <c r="A1405">
        <v>437</v>
      </c>
      <c r="B1405" t="s">
        <v>65</v>
      </c>
      <c r="C1405" s="1"/>
      <c r="D1405" s="1"/>
      <c r="E1405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6" spans="1:5" x14ac:dyDescent="0.3">
      <c r="A1406">
        <v>471</v>
      </c>
      <c r="B1406" t="s">
        <v>36</v>
      </c>
      <c r="C1406" s="1">
        <v>44581.6875</v>
      </c>
      <c r="D1406" s="1"/>
      <c r="E1406" s="17">
        <f ca="1">IF(Tablo2[[#This Row],[Başlangıç]]="","",(IF(Tablo2[[#This Row],[Bitiş]]="",($G$1-Tablo2[[#This Row],[Başlangıç]])*24,(Tablo2[[#This Row],[Bitiş]]-Tablo2[[#This Row],[Başlangıç]])*24)))</f>
        <v>2263.5</v>
      </c>
    </row>
    <row r="1407" spans="1:5" x14ac:dyDescent="0.3">
      <c r="A1407">
        <v>471</v>
      </c>
      <c r="B1407" t="s">
        <v>84</v>
      </c>
      <c r="C1407" s="1"/>
      <c r="D1407" s="1"/>
      <c r="E1407" s="17" t="str">
        <f>IF(Tablo2[[#This Row],[Başlangıç]]="","",(IF(Tablo2[[#This Row],[Bitiş]]="",($G$1-Tablo2[[#This Row],[Başlangıç]])*24,(Tablo2[[#This Row],[Bitiş]]-Tablo2[[#This Row],[Başlangıç]])*24)))</f>
        <v/>
      </c>
    </row>
    <row r="1408" spans="1:5" x14ac:dyDescent="0.3">
      <c r="A1408">
        <v>471</v>
      </c>
      <c r="B1408" t="s">
        <v>179</v>
      </c>
      <c r="C1408" s="1">
        <v>44581.6875</v>
      </c>
      <c r="D1408" s="1">
        <v>44581.708333333336</v>
      </c>
      <c r="E140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09" spans="1:5" x14ac:dyDescent="0.3">
      <c r="A1409">
        <v>471</v>
      </c>
      <c r="B1409" t="s">
        <v>68</v>
      </c>
      <c r="C1409" s="1"/>
      <c r="D1409" s="1"/>
      <c r="E1409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0" spans="1:5" x14ac:dyDescent="0.3">
      <c r="A1410">
        <v>471</v>
      </c>
      <c r="B1410" t="s">
        <v>37</v>
      </c>
      <c r="C1410" s="1"/>
      <c r="D1410" s="1"/>
      <c r="E1410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1" spans="1:5" x14ac:dyDescent="0.3">
      <c r="A1411">
        <v>471</v>
      </c>
      <c r="B1411" t="s">
        <v>65</v>
      </c>
      <c r="C1411" s="1"/>
      <c r="D1411" s="1"/>
      <c r="E1411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2" spans="1:5" x14ac:dyDescent="0.3">
      <c r="A1412">
        <v>490</v>
      </c>
      <c r="B1412" t="s">
        <v>36</v>
      </c>
      <c r="C1412" s="1">
        <v>44586</v>
      </c>
      <c r="D1412" s="1"/>
      <c r="E1412" s="17">
        <f ca="1">IF(Tablo2[[#This Row],[Başlangıç]]="","",(IF(Tablo2[[#This Row],[Bitiş]]="",($G$1-Tablo2[[#This Row],[Başlangıç]])*24,(Tablo2[[#This Row],[Bitiş]]-Tablo2[[#This Row],[Başlangıç]])*24)))</f>
        <v>2160</v>
      </c>
    </row>
    <row r="1413" spans="1:5" x14ac:dyDescent="0.3">
      <c r="A1413">
        <v>490</v>
      </c>
      <c r="B1413" t="s">
        <v>84</v>
      </c>
      <c r="C1413" s="1"/>
      <c r="D1413" s="1"/>
      <c r="E1413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4" spans="1:5" x14ac:dyDescent="0.3">
      <c r="A1414">
        <v>490</v>
      </c>
      <c r="B1414" t="s">
        <v>179</v>
      </c>
      <c r="C1414" s="1">
        <v>44586</v>
      </c>
      <c r="D1414" s="1">
        <v>44586.020833333336</v>
      </c>
      <c r="E14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15" spans="1:5" x14ac:dyDescent="0.3">
      <c r="A1415">
        <v>490</v>
      </c>
      <c r="B1415" t="s">
        <v>68</v>
      </c>
      <c r="C1415" s="1"/>
      <c r="D1415" s="1"/>
      <c r="E1415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6" spans="1:5" x14ac:dyDescent="0.3">
      <c r="A1416">
        <v>490</v>
      </c>
      <c r="B1416" t="s">
        <v>37</v>
      </c>
      <c r="C1416" s="1"/>
      <c r="D1416" s="1"/>
      <c r="E1416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7" spans="1:5" x14ac:dyDescent="0.3">
      <c r="A1417">
        <v>490</v>
      </c>
      <c r="B1417" t="s">
        <v>65</v>
      </c>
      <c r="C1417" s="1"/>
      <c r="D1417" s="1"/>
      <c r="E1417" s="17" t="str">
        <f>IF(Tablo2[[#This Row],[Başlangıç]]="","",(IF(Tablo2[[#This Row],[Bitiş]]="",($G$1-Tablo2[[#This Row],[Başlangıç]])*24,(Tablo2[[#This Row],[Bitiş]]-Tablo2[[#This Row],[Başlangıç]])*24)))</f>
        <v/>
      </c>
    </row>
    <row r="1418" spans="1:5" x14ac:dyDescent="0.3">
      <c r="A1418">
        <v>491</v>
      </c>
      <c r="B1418" t="s">
        <v>36</v>
      </c>
      <c r="C1418" s="1">
        <v>44586.375</v>
      </c>
      <c r="D1418" s="1"/>
      <c r="E1418" s="17">
        <f ca="1">IF(Tablo2[[#This Row],[Başlangıç]]="","",(IF(Tablo2[[#This Row],[Bitiş]]="",($G$1-Tablo2[[#This Row],[Başlangıç]])*24,(Tablo2[[#This Row],[Bitiş]]-Tablo2[[#This Row],[Başlangıç]])*24)))</f>
        <v>2151</v>
      </c>
    </row>
    <row r="1419" spans="1:5" x14ac:dyDescent="0.3">
      <c r="A1419">
        <v>491</v>
      </c>
      <c r="B1419" t="s">
        <v>84</v>
      </c>
      <c r="C1419" s="1"/>
      <c r="D1419" s="1"/>
      <c r="E1419" s="17" t="str">
        <f>IF(Tablo2[[#This Row],[Başlangıç]]="","",(IF(Tablo2[[#This Row],[Bitiş]]="",($G$1-Tablo2[[#This Row],[Başlangıç]])*24,(Tablo2[[#This Row],[Bitiş]]-Tablo2[[#This Row],[Başlangıç]])*24)))</f>
        <v/>
      </c>
    </row>
    <row r="1420" spans="1:5" x14ac:dyDescent="0.3">
      <c r="A1420">
        <v>491</v>
      </c>
      <c r="B1420" t="s">
        <v>179</v>
      </c>
      <c r="C1420" s="1">
        <v>44586.375</v>
      </c>
      <c r="D1420" s="1">
        <v>44586.395833333336</v>
      </c>
      <c r="E142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21" spans="1:5" x14ac:dyDescent="0.3">
      <c r="A1421">
        <v>491</v>
      </c>
      <c r="B1421" t="s">
        <v>68</v>
      </c>
      <c r="C1421" s="1"/>
      <c r="D1421" s="1"/>
      <c r="E14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422" spans="1:5" x14ac:dyDescent="0.3">
      <c r="A1422">
        <v>491</v>
      </c>
      <c r="B1422" t="s">
        <v>37</v>
      </c>
      <c r="C1422" s="1"/>
      <c r="D1422" s="1"/>
      <c r="E1422" s="17" t="str">
        <f>IF(Tablo2[[#This Row],[Başlangıç]]="","",(IF(Tablo2[[#This Row],[Bitiş]]="",($G$1-Tablo2[[#This Row],[Başlangıç]])*24,(Tablo2[[#This Row],[Bitiş]]-Tablo2[[#This Row],[Başlangıç]])*24)))</f>
        <v/>
      </c>
    </row>
    <row r="1423" spans="1:5" x14ac:dyDescent="0.3">
      <c r="A1423">
        <v>491</v>
      </c>
      <c r="B1423" t="s">
        <v>65</v>
      </c>
      <c r="C1423" s="1"/>
      <c r="D1423" s="1"/>
      <c r="E14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424" spans="1:5" x14ac:dyDescent="0.3">
      <c r="A1424">
        <v>500</v>
      </c>
      <c r="B1424" t="s">
        <v>36</v>
      </c>
      <c r="C1424" s="1">
        <v>44591.291666666664</v>
      </c>
      <c r="D1424" s="1">
        <v>44593.065972222219</v>
      </c>
      <c r="E1424" s="17">
        <f>IF(Tablo2[[#This Row],[Başlangıç]]="","",(IF(Tablo2[[#This Row],[Bitiş]]="",($G$1-Tablo2[[#This Row],[Başlangıç]])*24,(Tablo2[[#This Row],[Bitiş]]-Tablo2[[#This Row],[Başlangıç]])*24)))</f>
        <v>42.583333333313931</v>
      </c>
    </row>
    <row r="1425" spans="1:5" x14ac:dyDescent="0.3">
      <c r="A1425">
        <v>500</v>
      </c>
      <c r="B1425" t="s">
        <v>84</v>
      </c>
      <c r="C1425" s="1">
        <v>44594.958333333336</v>
      </c>
      <c r="D1425" s="1">
        <v>44596.916666666664</v>
      </c>
      <c r="E1425" s="17">
        <f>IF(Tablo2[[#This Row],[Başlangıç]]="","",(IF(Tablo2[[#This Row],[Bitiş]]="",($G$1-Tablo2[[#This Row],[Başlangıç]])*24,(Tablo2[[#This Row],[Bitiş]]-Tablo2[[#This Row],[Başlangıç]])*24)))</f>
        <v>46.999999999883585</v>
      </c>
    </row>
    <row r="1426" spans="1:5" x14ac:dyDescent="0.3">
      <c r="A1426">
        <v>500</v>
      </c>
      <c r="B1426" t="s">
        <v>179</v>
      </c>
      <c r="C1426" s="1">
        <v>44591.291666666664</v>
      </c>
      <c r="D1426" s="1">
        <v>44591.3125</v>
      </c>
      <c r="E142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27" spans="1:5" x14ac:dyDescent="0.3">
      <c r="A1427">
        <v>500</v>
      </c>
      <c r="B1427" t="s">
        <v>68</v>
      </c>
      <c r="C1427" s="1">
        <v>44595.916666666664</v>
      </c>
      <c r="D1427" s="1">
        <v>44598.691666666666</v>
      </c>
      <c r="E1427" s="17">
        <f>IF(Tablo2[[#This Row],[Başlangıç]]="","",(IF(Tablo2[[#This Row],[Bitiş]]="",($G$1-Tablo2[[#This Row],[Başlangıç]])*24,(Tablo2[[#This Row],[Bitiş]]-Tablo2[[#This Row],[Başlangıç]])*24)))</f>
        <v>66.600000000034925</v>
      </c>
    </row>
    <row r="1428" spans="1:5" x14ac:dyDescent="0.3">
      <c r="A1428">
        <v>500</v>
      </c>
      <c r="B1428" t="s">
        <v>37</v>
      </c>
      <c r="C1428" s="1">
        <v>44228.645833333336</v>
      </c>
      <c r="D1428" s="1">
        <v>44596.229166666664</v>
      </c>
      <c r="E1428" s="17">
        <f>IF(Tablo2[[#This Row],[Başlangıç]]="","",(IF(Tablo2[[#This Row],[Bitiş]]="",($G$1-Tablo2[[#This Row],[Başlangıç]])*24,(Tablo2[[#This Row],[Bitiş]]-Tablo2[[#This Row],[Başlangıç]])*24)))</f>
        <v>8821.9999999998836</v>
      </c>
    </row>
    <row r="1429" spans="1:5" x14ac:dyDescent="0.3">
      <c r="A1429">
        <v>500</v>
      </c>
      <c r="B1429" t="s">
        <v>65</v>
      </c>
      <c r="C1429" s="1">
        <v>44594.34375</v>
      </c>
      <c r="D1429" s="1">
        <v>44594.916666666664</v>
      </c>
      <c r="E1429" s="17">
        <f>IF(Tablo2[[#This Row],[Başlangıç]]="","",(IF(Tablo2[[#This Row],[Bitiş]]="",($G$1-Tablo2[[#This Row],[Başlangıç]])*24,(Tablo2[[#This Row],[Bitiş]]-Tablo2[[#This Row],[Başlangıç]])*24)))</f>
        <v>13.749999999941792</v>
      </c>
    </row>
    <row r="1430" spans="1:5" x14ac:dyDescent="0.3">
      <c r="A1430">
        <v>501</v>
      </c>
      <c r="B1430" t="s">
        <v>36</v>
      </c>
      <c r="C1430" s="1">
        <v>44591.614583333336</v>
      </c>
      <c r="D1430" s="1">
        <v>44593.888888888891</v>
      </c>
      <c r="E1430" s="17">
        <f>IF(Tablo2[[#This Row],[Başlangıç]]="","",(IF(Tablo2[[#This Row],[Bitiş]]="",($G$1-Tablo2[[#This Row],[Başlangıç]])*24,(Tablo2[[#This Row],[Bitiş]]-Tablo2[[#This Row],[Başlangıç]])*24)))</f>
        <v>54.583333333313931</v>
      </c>
    </row>
    <row r="1431" spans="1:5" x14ac:dyDescent="0.3">
      <c r="A1431">
        <v>501</v>
      </c>
      <c r="B1431" t="s">
        <v>84</v>
      </c>
      <c r="C1431" s="1">
        <v>44595.736111111109</v>
      </c>
      <c r="D1431" s="1">
        <v>44602</v>
      </c>
      <c r="E1431" s="17">
        <f>IF(Tablo2[[#This Row],[Başlangıç]]="","",(IF(Tablo2[[#This Row],[Bitiş]]="",($G$1-Tablo2[[#This Row],[Başlangıç]])*24,(Tablo2[[#This Row],[Bitiş]]-Tablo2[[#This Row],[Başlangıç]])*24)))</f>
        <v>150.33333333337214</v>
      </c>
    </row>
    <row r="1432" spans="1:5" x14ac:dyDescent="0.3">
      <c r="A1432">
        <v>501</v>
      </c>
      <c r="B1432" t="s">
        <v>179</v>
      </c>
      <c r="C1432" s="1">
        <v>44591.614583333336</v>
      </c>
      <c r="D1432" s="1">
        <v>44591.635416666664</v>
      </c>
      <c r="E143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33" spans="1:5" x14ac:dyDescent="0.3">
      <c r="A1433">
        <v>501</v>
      </c>
      <c r="B1433" t="s">
        <v>68</v>
      </c>
      <c r="C1433" s="1">
        <v>44600.53125</v>
      </c>
      <c r="D1433" s="1">
        <v>44602.555555555555</v>
      </c>
      <c r="E1433" s="17">
        <f>IF(Tablo2[[#This Row],[Başlangıç]]="","",(IF(Tablo2[[#This Row],[Bitiş]]="",($G$1-Tablo2[[#This Row],[Başlangıç]])*24,(Tablo2[[#This Row],[Bitiş]]-Tablo2[[#This Row],[Başlangıç]])*24)))</f>
        <v>48.583333333313931</v>
      </c>
    </row>
    <row r="1434" spans="1:5" x14ac:dyDescent="0.3">
      <c r="A1434">
        <v>501</v>
      </c>
      <c r="B1434" t="s">
        <v>37</v>
      </c>
      <c r="C1434" s="1">
        <v>44594.434027777781</v>
      </c>
      <c r="D1434" s="1">
        <v>44597.076388888891</v>
      </c>
      <c r="E1434" s="17">
        <f>IF(Tablo2[[#This Row],[Başlangıç]]="","",(IF(Tablo2[[#This Row],[Bitiş]]="",($G$1-Tablo2[[#This Row],[Başlangıç]])*24,(Tablo2[[#This Row],[Bitiş]]-Tablo2[[#This Row],[Başlangıç]])*24)))</f>
        <v>63.416666666627862</v>
      </c>
    </row>
    <row r="1435" spans="1:5" x14ac:dyDescent="0.3">
      <c r="A1435">
        <v>501</v>
      </c>
      <c r="B1435" t="s">
        <v>65</v>
      </c>
      <c r="C1435" s="1">
        <v>44594.961805555555</v>
      </c>
      <c r="D1435" s="1">
        <v>44595.65625</v>
      </c>
      <c r="E1435" s="17">
        <f>IF(Tablo2[[#This Row],[Başlangıç]]="","",(IF(Tablo2[[#This Row],[Bitiş]]="",($G$1-Tablo2[[#This Row],[Başlangıç]])*24,(Tablo2[[#This Row],[Bitiş]]-Tablo2[[#This Row],[Başlangıç]])*24)))</f>
        <v>16.666666666686069</v>
      </c>
    </row>
    <row r="1436" spans="1:5" x14ac:dyDescent="0.3">
      <c r="A1436">
        <v>502</v>
      </c>
      <c r="B1436" t="s">
        <v>36</v>
      </c>
      <c r="C1436" s="1">
        <v>44592.071527777778</v>
      </c>
      <c r="D1436" s="1">
        <v>44594.302083333336</v>
      </c>
      <c r="E1436" s="17">
        <f>IF(Tablo2[[#This Row],[Başlangıç]]="","",(IF(Tablo2[[#This Row],[Bitiş]]="",($G$1-Tablo2[[#This Row],[Başlangıç]])*24,(Tablo2[[#This Row],[Bitiş]]-Tablo2[[#This Row],[Başlangıç]])*24)))</f>
        <v>53.53333333338378</v>
      </c>
    </row>
    <row r="1437" spans="1:5" x14ac:dyDescent="0.3">
      <c r="A1437">
        <v>502</v>
      </c>
      <c r="B1437" t="s">
        <v>84</v>
      </c>
      <c r="C1437" s="1">
        <v>44594.986111111109</v>
      </c>
      <c r="D1437" s="1">
        <v>44606.486111111109</v>
      </c>
      <c r="E1437" s="17">
        <f>IF(Tablo2[[#This Row],[Başlangıç]]="","",(IF(Tablo2[[#This Row],[Bitiş]]="",($G$1-Tablo2[[#This Row],[Başlangıç]])*24,(Tablo2[[#This Row],[Bitiş]]-Tablo2[[#This Row],[Başlangıç]])*24)))</f>
        <v>276</v>
      </c>
    </row>
    <row r="1438" spans="1:5" x14ac:dyDescent="0.3">
      <c r="A1438">
        <v>502</v>
      </c>
      <c r="B1438" t="s">
        <v>179</v>
      </c>
      <c r="C1438" s="1">
        <v>44592.071527777778</v>
      </c>
      <c r="D1438" s="1">
        <v>44592.092361111114</v>
      </c>
      <c r="E143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39" spans="1:5" x14ac:dyDescent="0.3">
      <c r="A1439">
        <v>502</v>
      </c>
      <c r="B1439" t="s">
        <v>68</v>
      </c>
      <c r="C1439" s="1">
        <v>44605.694444444445</v>
      </c>
      <c r="D1439" s="1">
        <v>44606.913194444445</v>
      </c>
      <c r="E1439" s="17">
        <f>IF(Tablo2[[#This Row],[Başlangıç]]="","",(IF(Tablo2[[#This Row],[Bitiş]]="",($G$1-Tablo2[[#This Row],[Başlangıç]])*24,(Tablo2[[#This Row],[Bitiş]]-Tablo2[[#This Row],[Başlangıç]])*24)))</f>
        <v>29.25</v>
      </c>
    </row>
    <row r="1440" spans="1:5" x14ac:dyDescent="0.3">
      <c r="A1440">
        <v>502</v>
      </c>
      <c r="B1440" t="s">
        <v>37</v>
      </c>
      <c r="C1440" s="1">
        <v>44595.048611111109</v>
      </c>
      <c r="D1440" s="1">
        <v>44605.819444444445</v>
      </c>
      <c r="E1440" s="17">
        <f>IF(Tablo2[[#This Row],[Başlangıç]]="","",(IF(Tablo2[[#This Row],[Bitiş]]="",($G$1-Tablo2[[#This Row],[Başlangıç]])*24,(Tablo2[[#This Row],[Bitiş]]-Tablo2[[#This Row],[Başlangıç]])*24)))</f>
        <v>258.50000000005821</v>
      </c>
    </row>
    <row r="1441" spans="1:5" x14ac:dyDescent="0.3">
      <c r="A1441">
        <v>502</v>
      </c>
      <c r="B1441" t="s">
        <v>65</v>
      </c>
      <c r="C1441" s="1">
        <v>44596.34375</v>
      </c>
      <c r="D1441" s="1">
        <v>44596.895833333336</v>
      </c>
      <c r="E1441" s="17">
        <f>IF(Tablo2[[#This Row],[Başlangıç]]="","",(IF(Tablo2[[#This Row],[Bitiş]]="",($G$1-Tablo2[[#This Row],[Başlangıç]])*24,(Tablo2[[#This Row],[Bitiş]]-Tablo2[[#This Row],[Başlangıç]])*24)))</f>
        <v>13.250000000058208</v>
      </c>
    </row>
    <row r="1442" spans="1:5" x14ac:dyDescent="0.3">
      <c r="A1442">
        <v>503</v>
      </c>
      <c r="B1442" t="s">
        <v>36</v>
      </c>
      <c r="C1442" s="1">
        <v>44592.833333333336</v>
      </c>
      <c r="D1442" s="1">
        <v>44594.958333333336</v>
      </c>
      <c r="E1442" s="17">
        <f>IF(Tablo2[[#This Row],[Başlangıç]]="","",(IF(Tablo2[[#This Row],[Bitiş]]="",($G$1-Tablo2[[#This Row],[Başlangıç]])*24,(Tablo2[[#This Row],[Bitiş]]-Tablo2[[#This Row],[Başlangıç]])*24)))</f>
        <v>51</v>
      </c>
    </row>
    <row r="1443" spans="1:5" x14ac:dyDescent="0.3">
      <c r="A1443">
        <v>503</v>
      </c>
      <c r="B1443" t="s">
        <v>84</v>
      </c>
      <c r="C1443" s="1">
        <v>44598.215277777781</v>
      </c>
      <c r="D1443" s="1">
        <v>44600.000694444447</v>
      </c>
      <c r="E1443" s="17">
        <f>IF(Tablo2[[#This Row],[Başlangıç]]="","",(IF(Tablo2[[#This Row],[Bitiş]]="",($G$1-Tablo2[[#This Row],[Başlangıç]])*24,(Tablo2[[#This Row],[Bitiş]]-Tablo2[[#This Row],[Başlangıç]])*24)))</f>
        <v>42.849999999976717</v>
      </c>
    </row>
    <row r="1444" spans="1:5" x14ac:dyDescent="0.3">
      <c r="A1444">
        <v>503</v>
      </c>
      <c r="B1444" t="s">
        <v>179</v>
      </c>
      <c r="C1444" s="1">
        <v>44592.833333333336</v>
      </c>
      <c r="D1444" s="1">
        <v>44592.854166666664</v>
      </c>
      <c r="E144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45" spans="1:5" x14ac:dyDescent="0.3">
      <c r="A1445">
        <v>503</v>
      </c>
      <c r="B1445" t="s">
        <v>68</v>
      </c>
      <c r="C1445" s="1">
        <v>44598.774305555555</v>
      </c>
      <c r="D1445" s="1">
        <v>44600.291666666664</v>
      </c>
      <c r="E1445" s="17">
        <f>IF(Tablo2[[#This Row],[Başlangıç]]="","",(IF(Tablo2[[#This Row],[Bitiş]]="",($G$1-Tablo2[[#This Row],[Başlangıç]])*24,(Tablo2[[#This Row],[Bitiş]]-Tablo2[[#This Row],[Başlangıç]])*24)))</f>
        <v>36.416666666627862</v>
      </c>
    </row>
    <row r="1446" spans="1:5" x14ac:dyDescent="0.3">
      <c r="A1446">
        <v>503</v>
      </c>
      <c r="B1446" t="s">
        <v>37</v>
      </c>
      <c r="C1446" s="1">
        <v>44596.090277777781</v>
      </c>
      <c r="D1446" s="1">
        <v>44599.444444444445</v>
      </c>
      <c r="E1446" s="17">
        <f>IF(Tablo2[[#This Row],[Başlangıç]]="","",(IF(Tablo2[[#This Row],[Bitiş]]="",($G$1-Tablo2[[#This Row],[Başlangıç]])*24,(Tablo2[[#This Row],[Bitiş]]-Tablo2[[#This Row],[Başlangıç]])*24)))</f>
        <v>80.499999999941792</v>
      </c>
    </row>
    <row r="1447" spans="1:5" x14ac:dyDescent="0.3">
      <c r="A1447">
        <v>503</v>
      </c>
      <c r="B1447" t="s">
        <v>65</v>
      </c>
      <c r="C1447" s="1">
        <v>44597.475694444445</v>
      </c>
      <c r="D1447" s="1">
        <v>44598.15625</v>
      </c>
      <c r="E1447" s="17">
        <f>IF(Tablo2[[#This Row],[Başlangıç]]="","",(IF(Tablo2[[#This Row],[Bitiş]]="",($G$1-Tablo2[[#This Row],[Başlangıç]])*24,(Tablo2[[#This Row],[Bitiş]]-Tablo2[[#This Row],[Başlangıç]])*24)))</f>
        <v>16.333333333313931</v>
      </c>
    </row>
    <row r="1448" spans="1:5" x14ac:dyDescent="0.3">
      <c r="A1448">
        <v>504</v>
      </c>
      <c r="B1448" t="s">
        <v>36</v>
      </c>
      <c r="C1448" s="1">
        <v>44593.739583333336</v>
      </c>
      <c r="D1448" s="1">
        <v>44595.291666666664</v>
      </c>
      <c r="E1448" s="17">
        <f>IF(Tablo2[[#This Row],[Başlangıç]]="","",(IF(Tablo2[[#This Row],[Bitiş]]="",($G$1-Tablo2[[#This Row],[Başlangıç]])*24,(Tablo2[[#This Row],[Bitiş]]-Tablo2[[#This Row],[Başlangıç]])*24)))</f>
        <v>37.249999999883585</v>
      </c>
    </row>
    <row r="1449" spans="1:5" x14ac:dyDescent="0.3">
      <c r="A1449">
        <v>504</v>
      </c>
      <c r="B1449" t="s">
        <v>84</v>
      </c>
      <c r="C1449" s="1"/>
      <c r="D1449" s="1"/>
      <c r="E1449" s="17" t="str">
        <f>IF(Tablo2[[#This Row],[Başlangıç]]="","",(IF(Tablo2[[#This Row],[Bitiş]]="",($G$1-Tablo2[[#This Row],[Başlangıç]])*24,(Tablo2[[#This Row],[Bitiş]]-Tablo2[[#This Row],[Başlangıç]])*24)))</f>
        <v/>
      </c>
    </row>
    <row r="1450" spans="1:5" x14ac:dyDescent="0.3">
      <c r="A1450">
        <v>504</v>
      </c>
      <c r="B1450" t="s">
        <v>179</v>
      </c>
      <c r="C1450" s="1">
        <v>44593.739583333336</v>
      </c>
      <c r="D1450" s="1">
        <v>44593.760416666664</v>
      </c>
      <c r="E145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51" spans="1:5" x14ac:dyDescent="0.3">
      <c r="A1451">
        <v>504</v>
      </c>
      <c r="B1451" t="s">
        <v>68</v>
      </c>
      <c r="C1451" s="1"/>
      <c r="D1451" s="1"/>
      <c r="E1451" s="17" t="str">
        <f>IF(Tablo2[[#This Row],[Başlangıç]]="","",(IF(Tablo2[[#This Row],[Bitiş]]="",($G$1-Tablo2[[#This Row],[Başlangıç]])*24,(Tablo2[[#This Row],[Bitiş]]-Tablo2[[#This Row],[Başlangıç]])*24)))</f>
        <v/>
      </c>
    </row>
    <row r="1452" spans="1:5" x14ac:dyDescent="0.3">
      <c r="A1452">
        <v>504</v>
      </c>
      <c r="B1452" t="s">
        <v>37</v>
      </c>
      <c r="C1452" s="1"/>
      <c r="D1452" s="1"/>
      <c r="E1452" s="17" t="str">
        <f>IF(Tablo2[[#This Row],[Başlangıç]]="","",(IF(Tablo2[[#This Row],[Bitiş]]="",($G$1-Tablo2[[#This Row],[Başlangıç]])*24,(Tablo2[[#This Row],[Bitiş]]-Tablo2[[#This Row],[Başlangıç]])*24)))</f>
        <v/>
      </c>
    </row>
    <row r="1453" spans="1:5" x14ac:dyDescent="0.3">
      <c r="A1453">
        <v>504</v>
      </c>
      <c r="B1453" t="s">
        <v>65</v>
      </c>
      <c r="C1453" s="1"/>
      <c r="D1453" s="1"/>
      <c r="E14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454" spans="1:5" x14ac:dyDescent="0.3">
      <c r="A1454">
        <v>505</v>
      </c>
      <c r="B1454" t="s">
        <v>36</v>
      </c>
      <c r="C1454" s="1">
        <v>44593.228472222225</v>
      </c>
      <c r="D1454" s="1">
        <v>44596.270833333336</v>
      </c>
      <c r="E1454" s="17">
        <f>IF(Tablo2[[#This Row],[Başlangıç]]="","",(IF(Tablo2[[#This Row],[Bitiş]]="",($G$1-Tablo2[[#This Row],[Başlangıç]])*24,(Tablo2[[#This Row],[Bitiş]]-Tablo2[[#This Row],[Başlangıç]])*24)))</f>
        <v>73.016666666662786</v>
      </c>
    </row>
    <row r="1455" spans="1:5" x14ac:dyDescent="0.3">
      <c r="A1455">
        <v>505</v>
      </c>
      <c r="B1455" t="s">
        <v>84</v>
      </c>
      <c r="C1455" s="1">
        <v>44599.96875</v>
      </c>
      <c r="D1455" s="1">
        <v>44601.083333333336</v>
      </c>
      <c r="E1455" s="17">
        <f>IF(Tablo2[[#This Row],[Başlangıç]]="","",(IF(Tablo2[[#This Row],[Bitiş]]="",($G$1-Tablo2[[#This Row],[Başlangıç]])*24,(Tablo2[[#This Row],[Bitiş]]-Tablo2[[#This Row],[Başlangıç]])*24)))</f>
        <v>26.750000000058208</v>
      </c>
    </row>
    <row r="1456" spans="1:5" x14ac:dyDescent="0.3">
      <c r="A1456">
        <v>505</v>
      </c>
      <c r="B1456" t="s">
        <v>179</v>
      </c>
      <c r="C1456" s="1">
        <v>44593.228472222225</v>
      </c>
      <c r="D1456" s="1">
        <v>44593.249305555553</v>
      </c>
      <c r="E145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457" spans="1:5" x14ac:dyDescent="0.3">
      <c r="A1457">
        <v>505</v>
      </c>
      <c r="B1457" t="s">
        <v>68</v>
      </c>
      <c r="C1457" s="1">
        <v>44600.697916666664</v>
      </c>
      <c r="D1457" s="1">
        <v>44601.493055555555</v>
      </c>
      <c r="E1457" s="17">
        <f>IF(Tablo2[[#This Row],[Başlangıç]]="","",(IF(Tablo2[[#This Row],[Bitiş]]="",($G$1-Tablo2[[#This Row],[Başlangıç]])*24,(Tablo2[[#This Row],[Bitiş]]-Tablo2[[#This Row],[Başlangıç]])*24)))</f>
        <v>19.083333333372138</v>
      </c>
    </row>
    <row r="1458" spans="1:5" x14ac:dyDescent="0.3">
      <c r="A1458">
        <v>505</v>
      </c>
      <c r="B1458" t="s">
        <v>37</v>
      </c>
      <c r="C1458" s="1">
        <v>44596.684027777781</v>
      </c>
      <c r="D1458" s="1">
        <v>44599.375</v>
      </c>
      <c r="E1458" s="17">
        <f>IF(Tablo2[[#This Row],[Başlangıç]]="","",(IF(Tablo2[[#This Row],[Bitiş]]="",($G$1-Tablo2[[#This Row],[Başlangıç]])*24,(Tablo2[[#This Row],[Bitiş]]-Tablo2[[#This Row],[Başlangıç]])*24)))</f>
        <v>64.583333333255723</v>
      </c>
    </row>
    <row r="1459" spans="1:5" x14ac:dyDescent="0.3">
      <c r="A1459">
        <v>505</v>
      </c>
      <c r="B1459" t="s">
        <v>65</v>
      </c>
      <c r="C1459" s="1">
        <v>44598.083333333336</v>
      </c>
      <c r="D1459" s="1">
        <v>44600.3125</v>
      </c>
      <c r="E1459" s="17">
        <f>IF(Tablo2[[#This Row],[Başlangıç]]="","",(IF(Tablo2[[#This Row],[Bitiş]]="",($G$1-Tablo2[[#This Row],[Başlangıç]])*24,(Tablo2[[#This Row],[Bitiş]]-Tablo2[[#This Row],[Başlangıç]])*24)))</f>
        <v>53.499999999941792</v>
      </c>
    </row>
    <row r="1460" spans="1:5" x14ac:dyDescent="0.3">
      <c r="A1460">
        <v>506</v>
      </c>
      <c r="B1460" t="s">
        <v>36</v>
      </c>
      <c r="C1460" s="1">
        <v>44594.9375</v>
      </c>
      <c r="D1460" s="1">
        <v>44596.736111111109</v>
      </c>
      <c r="E1460" s="17">
        <f>IF(Tablo2[[#This Row],[Başlangıç]]="","",(IF(Tablo2[[#This Row],[Bitiş]]="",($G$1-Tablo2[[#This Row],[Başlangıç]])*24,(Tablo2[[#This Row],[Bitiş]]-Tablo2[[#This Row],[Başlangıç]])*24)))</f>
        <v>43.166666666627862</v>
      </c>
    </row>
    <row r="1461" spans="1:5" x14ac:dyDescent="0.3">
      <c r="A1461">
        <v>506</v>
      </c>
      <c r="B1461" t="s">
        <v>84</v>
      </c>
      <c r="C1461" s="1">
        <v>44599.572916666664</v>
      </c>
      <c r="D1461" s="1">
        <v>44600.725694444445</v>
      </c>
      <c r="E1461" s="17">
        <f>IF(Tablo2[[#This Row],[Başlangıç]]="","",(IF(Tablo2[[#This Row],[Bitiş]]="",($G$1-Tablo2[[#This Row],[Başlangıç]])*24,(Tablo2[[#This Row],[Bitiş]]-Tablo2[[#This Row],[Başlangıç]])*24)))</f>
        <v>27.666666666744277</v>
      </c>
    </row>
    <row r="1462" spans="1:5" x14ac:dyDescent="0.3">
      <c r="A1462">
        <v>506</v>
      </c>
      <c r="B1462" t="s">
        <v>179</v>
      </c>
      <c r="C1462" s="1">
        <v>44594.9375</v>
      </c>
      <c r="D1462" s="1">
        <v>44594.958333333336</v>
      </c>
      <c r="E146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63" spans="1:5" x14ac:dyDescent="0.3">
      <c r="A1463">
        <v>506</v>
      </c>
      <c r="B1463" t="s">
        <v>68</v>
      </c>
      <c r="C1463" s="1">
        <v>44600.767361111109</v>
      </c>
      <c r="D1463" s="1">
        <v>44601.84375</v>
      </c>
      <c r="E1463" s="17">
        <f>IF(Tablo2[[#This Row],[Başlangıç]]="","",(IF(Tablo2[[#This Row],[Bitiş]]="",($G$1-Tablo2[[#This Row],[Başlangıç]])*24,(Tablo2[[#This Row],[Bitiş]]-Tablo2[[#This Row],[Başlangıç]])*24)))</f>
        <v>25.833333333372138</v>
      </c>
    </row>
    <row r="1464" spans="1:5" x14ac:dyDescent="0.3">
      <c r="A1464">
        <v>506</v>
      </c>
      <c r="B1464" t="s">
        <v>37</v>
      </c>
      <c r="C1464" s="1">
        <v>44597.006944444445</v>
      </c>
      <c r="D1464" s="1">
        <v>44599.194444444445</v>
      </c>
      <c r="E1464" s="17">
        <f>IF(Tablo2[[#This Row],[Başlangıç]]="","",(IF(Tablo2[[#This Row],[Bitiş]]="",($G$1-Tablo2[[#This Row],[Başlangıç]])*24,(Tablo2[[#This Row],[Bitiş]]-Tablo2[[#This Row],[Başlangıç]])*24)))</f>
        <v>52.5</v>
      </c>
    </row>
    <row r="1465" spans="1:5" x14ac:dyDescent="0.3">
      <c r="A1465">
        <v>506</v>
      </c>
      <c r="B1465" t="s">
        <v>65</v>
      </c>
      <c r="C1465" s="1">
        <v>44598.366666666669</v>
      </c>
      <c r="D1465" s="1">
        <v>44599.541666666664</v>
      </c>
      <c r="E1465" s="17">
        <f>IF(Tablo2[[#This Row],[Başlangıç]]="","",(IF(Tablo2[[#This Row],[Bitiş]]="",($G$1-Tablo2[[#This Row],[Başlangıç]])*24,(Tablo2[[#This Row],[Bitiş]]-Tablo2[[#This Row],[Başlangıç]])*24)))</f>
        <v>28.199999999895226</v>
      </c>
    </row>
    <row r="1466" spans="1:5" x14ac:dyDescent="0.3">
      <c r="A1466">
        <v>507</v>
      </c>
      <c r="B1466" t="s">
        <v>36</v>
      </c>
      <c r="C1466" s="1">
        <v>44595.46875</v>
      </c>
      <c r="D1466" s="1">
        <v>44598.1875</v>
      </c>
      <c r="E1466" s="17">
        <f>IF(Tablo2[[#This Row],[Başlangıç]]="","",(IF(Tablo2[[#This Row],[Bitiş]]="",($G$1-Tablo2[[#This Row],[Başlangıç]])*24,(Tablo2[[#This Row],[Bitiş]]-Tablo2[[#This Row],[Başlangıç]])*24)))</f>
        <v>65.25</v>
      </c>
    </row>
    <row r="1467" spans="1:5" x14ac:dyDescent="0.3">
      <c r="A1467">
        <v>507</v>
      </c>
      <c r="B1467" t="s">
        <v>84</v>
      </c>
      <c r="C1467" s="1">
        <v>44600.961111111108</v>
      </c>
      <c r="D1467" s="1">
        <v>44602.42083333333</v>
      </c>
      <c r="E1467" s="17">
        <f>IF(Tablo2[[#This Row],[Başlangıç]]="","",(IF(Tablo2[[#This Row],[Bitiş]]="",($G$1-Tablo2[[#This Row],[Başlangıç]])*24,(Tablo2[[#This Row],[Bitiş]]-Tablo2[[#This Row],[Başlangıç]])*24)))</f>
        <v>35.033333333325572</v>
      </c>
    </row>
    <row r="1468" spans="1:5" x14ac:dyDescent="0.3">
      <c r="A1468">
        <v>507</v>
      </c>
      <c r="B1468" t="s">
        <v>179</v>
      </c>
      <c r="C1468" s="1">
        <v>44595.46875</v>
      </c>
      <c r="D1468" s="1">
        <v>44595.489583333336</v>
      </c>
      <c r="E146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69" spans="1:5" x14ac:dyDescent="0.3">
      <c r="A1469">
        <v>507</v>
      </c>
      <c r="B1469" t="s">
        <v>68</v>
      </c>
      <c r="C1469" s="1">
        <v>44601.488194444442</v>
      </c>
      <c r="D1469" s="1">
        <v>44602.996527777781</v>
      </c>
      <c r="E1469" s="17">
        <f>IF(Tablo2[[#This Row],[Başlangıç]]="","",(IF(Tablo2[[#This Row],[Bitiş]]="",($G$1-Tablo2[[#This Row],[Başlangıç]])*24,(Tablo2[[#This Row],[Bitiş]]-Tablo2[[#This Row],[Başlangıç]])*24)))</f>
        <v>36.200000000128057</v>
      </c>
    </row>
    <row r="1470" spans="1:5" x14ac:dyDescent="0.3">
      <c r="A1470">
        <v>507</v>
      </c>
      <c r="B1470" t="s">
        <v>37</v>
      </c>
      <c r="C1470" s="1">
        <v>44598.347222222219</v>
      </c>
      <c r="D1470" s="1">
        <v>44601.572916666664</v>
      </c>
      <c r="E1470" s="17">
        <f>IF(Tablo2[[#This Row],[Başlangıç]]="","",(IF(Tablo2[[#This Row],[Bitiş]]="",($G$1-Tablo2[[#This Row],[Başlangıç]])*24,(Tablo2[[#This Row],[Bitiş]]-Tablo2[[#This Row],[Başlangıç]])*24)))</f>
        <v>77.416666666686069</v>
      </c>
    </row>
    <row r="1471" spans="1:5" x14ac:dyDescent="0.3">
      <c r="A1471">
        <v>507</v>
      </c>
      <c r="B1471" t="s">
        <v>65</v>
      </c>
      <c r="C1471" s="1">
        <v>44600.020833333336</v>
      </c>
      <c r="D1471" s="1">
        <v>44600.881944444445</v>
      </c>
      <c r="E1471" s="17">
        <f>IF(Tablo2[[#This Row],[Başlangıç]]="","",(IF(Tablo2[[#This Row],[Bitiş]]="",($G$1-Tablo2[[#This Row],[Başlangıç]])*24,(Tablo2[[#This Row],[Bitiş]]-Tablo2[[#This Row],[Başlangıç]])*24)))</f>
        <v>20.666666666627862</v>
      </c>
    </row>
    <row r="1472" spans="1:5" x14ac:dyDescent="0.3">
      <c r="A1472">
        <v>508</v>
      </c>
      <c r="B1472" t="s">
        <v>36</v>
      </c>
      <c r="C1472" s="1">
        <v>44595.947916666664</v>
      </c>
      <c r="D1472" s="1">
        <v>44597.503472222219</v>
      </c>
      <c r="E1472" s="17">
        <f>IF(Tablo2[[#This Row],[Başlangıç]]="","",(IF(Tablo2[[#This Row],[Bitiş]]="",($G$1-Tablo2[[#This Row],[Başlangıç]])*24,(Tablo2[[#This Row],[Bitiş]]-Tablo2[[#This Row],[Başlangıç]])*24)))</f>
        <v>37.333333333313931</v>
      </c>
    </row>
    <row r="1473" spans="1:5" x14ac:dyDescent="0.3">
      <c r="A1473">
        <v>508</v>
      </c>
      <c r="B1473" t="s">
        <v>84</v>
      </c>
      <c r="C1473" s="1">
        <v>44603.229166666664</v>
      </c>
      <c r="D1473" s="1">
        <v>44603.534722222219</v>
      </c>
      <c r="E1473" s="17">
        <f>IF(Tablo2[[#This Row],[Başlangıç]]="","",(IF(Tablo2[[#This Row],[Bitiş]]="",($G$1-Tablo2[[#This Row],[Başlangıç]])*24,(Tablo2[[#This Row],[Bitiş]]-Tablo2[[#This Row],[Başlangıç]])*24)))</f>
        <v>7.3333333333139308</v>
      </c>
    </row>
    <row r="1474" spans="1:5" x14ac:dyDescent="0.3">
      <c r="A1474">
        <v>508</v>
      </c>
      <c r="B1474" t="s">
        <v>179</v>
      </c>
      <c r="C1474" s="1">
        <v>44595.947916666664</v>
      </c>
      <c r="D1474" s="1">
        <v>44595.96875</v>
      </c>
      <c r="E14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75" spans="1:5" x14ac:dyDescent="0.3">
      <c r="A1475">
        <v>508</v>
      </c>
      <c r="B1475" t="s">
        <v>68</v>
      </c>
      <c r="C1475" s="1">
        <v>44609.020833333336</v>
      </c>
      <c r="D1475" s="1">
        <v>44609.447916666664</v>
      </c>
      <c r="E1475" s="17">
        <f>IF(Tablo2[[#This Row],[Başlangıç]]="","",(IF(Tablo2[[#This Row],[Bitiş]]="",($G$1-Tablo2[[#This Row],[Başlangıç]])*24,(Tablo2[[#This Row],[Bitiş]]-Tablo2[[#This Row],[Başlangıç]])*24)))</f>
        <v>10.249999999883585</v>
      </c>
    </row>
    <row r="1476" spans="1:5" x14ac:dyDescent="0.3">
      <c r="A1476">
        <v>508</v>
      </c>
      <c r="B1476" t="s">
        <v>37</v>
      </c>
      <c r="C1476" s="1">
        <v>44598.034722222219</v>
      </c>
      <c r="D1476" s="1">
        <v>44604.277777777781</v>
      </c>
      <c r="E1476" s="17">
        <f>IF(Tablo2[[#This Row],[Başlangıç]]="","",(IF(Tablo2[[#This Row],[Bitiş]]="",($G$1-Tablo2[[#This Row],[Başlangıç]])*24,(Tablo2[[#This Row],[Bitiş]]-Tablo2[[#This Row],[Başlangıç]])*24)))</f>
        <v>149.83333333348855</v>
      </c>
    </row>
    <row r="1477" spans="1:5" x14ac:dyDescent="0.3">
      <c r="A1477">
        <v>508</v>
      </c>
      <c r="B1477" t="s">
        <v>65</v>
      </c>
      <c r="C1477" s="1">
        <v>44601.287499999999</v>
      </c>
      <c r="D1477" s="1">
        <v>44603.090277777781</v>
      </c>
      <c r="E1477" s="17">
        <f>IF(Tablo2[[#This Row],[Başlangıç]]="","",(IF(Tablo2[[#This Row],[Bitiş]]="",($G$1-Tablo2[[#This Row],[Başlangıç]])*24,(Tablo2[[#This Row],[Bitiş]]-Tablo2[[#This Row],[Başlangıç]])*24)))</f>
        <v>43.266666666779201</v>
      </c>
    </row>
    <row r="1478" spans="1:5" x14ac:dyDescent="0.3">
      <c r="A1478">
        <v>509</v>
      </c>
      <c r="B1478" t="s">
        <v>36</v>
      </c>
      <c r="C1478" s="1">
        <v>44596.867361111108</v>
      </c>
      <c r="D1478" s="1">
        <v>44598.5</v>
      </c>
      <c r="E1478" s="17">
        <f>IF(Tablo2[[#This Row],[Başlangıç]]="","",(IF(Tablo2[[#This Row],[Bitiş]]="",($G$1-Tablo2[[#This Row],[Başlangıç]])*24,(Tablo2[[#This Row],[Bitiş]]-Tablo2[[#This Row],[Başlangıç]])*24)))</f>
        <v>39.183333333407063</v>
      </c>
    </row>
    <row r="1479" spans="1:5" x14ac:dyDescent="0.3">
      <c r="A1479">
        <v>509</v>
      </c>
      <c r="B1479" t="s">
        <v>84</v>
      </c>
      <c r="C1479" s="1">
        <v>44625.645833333336</v>
      </c>
      <c r="D1479" s="1">
        <v>44630.333333333336</v>
      </c>
      <c r="E1479" s="17">
        <f>IF(Tablo2[[#This Row],[Başlangıç]]="","",(IF(Tablo2[[#This Row],[Bitiş]]="",($G$1-Tablo2[[#This Row],[Başlangıç]])*24,(Tablo2[[#This Row],[Bitiş]]-Tablo2[[#This Row],[Başlangıç]])*24)))</f>
        <v>112.5</v>
      </c>
    </row>
    <row r="1480" spans="1:5" x14ac:dyDescent="0.3">
      <c r="A1480">
        <v>509</v>
      </c>
      <c r="B1480" t="s">
        <v>179</v>
      </c>
      <c r="C1480" s="1">
        <v>44596.867361111108</v>
      </c>
      <c r="D1480" s="1">
        <v>44596.888194444444</v>
      </c>
      <c r="E14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81" spans="1:5" x14ac:dyDescent="0.3">
      <c r="A1481">
        <v>509</v>
      </c>
      <c r="B1481" t="s">
        <v>68</v>
      </c>
      <c r="C1481" s="1">
        <v>44611.5625</v>
      </c>
      <c r="D1481" s="1">
        <v>44630.333333333336</v>
      </c>
      <c r="E1481" s="17">
        <f>IF(Tablo2[[#This Row],[Başlangıç]]="","",(IF(Tablo2[[#This Row],[Bitiş]]="",($G$1-Tablo2[[#This Row],[Başlangıç]])*24,(Tablo2[[#This Row],[Bitiş]]-Tablo2[[#This Row],[Başlangıç]])*24)))</f>
        <v>450.50000000005821</v>
      </c>
    </row>
    <row r="1482" spans="1:5" x14ac:dyDescent="0.3">
      <c r="A1482">
        <v>509</v>
      </c>
      <c r="B1482" t="s">
        <v>37</v>
      </c>
      <c r="C1482" s="1">
        <v>44598.444444444445</v>
      </c>
      <c r="D1482" s="1">
        <v>44629.166666666664</v>
      </c>
      <c r="E1482" s="17">
        <f>IF(Tablo2[[#This Row],[Başlangıç]]="","",(IF(Tablo2[[#This Row],[Bitiş]]="",($G$1-Tablo2[[#This Row],[Başlangıç]])*24,(Tablo2[[#This Row],[Bitiş]]-Tablo2[[#This Row],[Başlangıç]])*24)))</f>
        <v>737.33333333325572</v>
      </c>
    </row>
    <row r="1483" spans="1:5" x14ac:dyDescent="0.3">
      <c r="A1483">
        <v>509</v>
      </c>
      <c r="B1483" t="s">
        <v>65</v>
      </c>
      <c r="C1483" s="1">
        <v>44624.125</v>
      </c>
      <c r="D1483" s="1">
        <v>44630.333333333336</v>
      </c>
      <c r="E1483" s="17">
        <f>IF(Tablo2[[#This Row],[Başlangıç]]="","",(IF(Tablo2[[#This Row],[Bitiş]]="",($G$1-Tablo2[[#This Row],[Başlangıç]])*24,(Tablo2[[#This Row],[Bitiş]]-Tablo2[[#This Row],[Başlangıç]])*24)))</f>
        <v>149.00000000005821</v>
      </c>
    </row>
    <row r="1484" spans="1:5" x14ac:dyDescent="0.3">
      <c r="A1484">
        <v>510</v>
      </c>
      <c r="B1484" t="s">
        <v>36</v>
      </c>
      <c r="C1484" s="1">
        <v>44596.5</v>
      </c>
      <c r="D1484" s="1">
        <v>44598.809027777781</v>
      </c>
      <c r="E1484" s="17">
        <f>IF(Tablo2[[#This Row],[Başlangıç]]="","",(IF(Tablo2[[#This Row],[Bitiş]]="",($G$1-Tablo2[[#This Row],[Başlangıç]])*24,(Tablo2[[#This Row],[Bitiş]]-Tablo2[[#This Row],[Başlangıç]])*24)))</f>
        <v>55.416666666744277</v>
      </c>
    </row>
    <row r="1485" spans="1:5" x14ac:dyDescent="0.3">
      <c r="A1485">
        <v>510</v>
      </c>
      <c r="B1485" t="s">
        <v>84</v>
      </c>
      <c r="C1485" s="1">
        <v>44600.4375</v>
      </c>
      <c r="D1485" s="1">
        <v>44600.79791666667</v>
      </c>
      <c r="E1485" s="17">
        <f>IF(Tablo2[[#This Row],[Başlangıç]]="","",(IF(Tablo2[[#This Row],[Bitiş]]="",($G$1-Tablo2[[#This Row],[Başlangıç]])*24,(Tablo2[[#This Row],[Bitiş]]-Tablo2[[#This Row],[Başlangıç]])*24)))</f>
        <v>8.6500000000814907</v>
      </c>
    </row>
    <row r="1486" spans="1:5" x14ac:dyDescent="0.3">
      <c r="A1486">
        <v>510</v>
      </c>
      <c r="B1486" t="s">
        <v>179</v>
      </c>
      <c r="C1486" s="1">
        <v>44596.5</v>
      </c>
      <c r="D1486" s="1">
        <v>44596.520833333336</v>
      </c>
      <c r="E148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87" spans="1:5" x14ac:dyDescent="0.3">
      <c r="A1487">
        <v>510</v>
      </c>
      <c r="B1487" t="s">
        <v>68</v>
      </c>
      <c r="C1487" s="1">
        <v>44600.708333333336</v>
      </c>
      <c r="D1487" s="1">
        <v>44602.607638888891</v>
      </c>
      <c r="E1487" s="17">
        <f>IF(Tablo2[[#This Row],[Başlangıç]]="","",(IF(Tablo2[[#This Row],[Bitiş]]="",($G$1-Tablo2[[#This Row],[Başlangıç]])*24,(Tablo2[[#This Row],[Bitiş]]-Tablo2[[#This Row],[Başlangıç]])*24)))</f>
        <v>45.583333333313931</v>
      </c>
    </row>
    <row r="1488" spans="1:5" x14ac:dyDescent="0.3">
      <c r="A1488">
        <v>510</v>
      </c>
      <c r="B1488" t="s">
        <v>37</v>
      </c>
      <c r="C1488" s="1">
        <v>44598.881944444445</v>
      </c>
      <c r="D1488" s="1">
        <v>44602.901388888888</v>
      </c>
      <c r="E1488" s="17">
        <f>IF(Tablo2[[#This Row],[Başlangıç]]="","",(IF(Tablo2[[#This Row],[Bitiş]]="",($G$1-Tablo2[[#This Row],[Başlangıç]])*24,(Tablo2[[#This Row],[Bitiş]]-Tablo2[[#This Row],[Başlangıç]])*24)))</f>
        <v>96.46666666661622</v>
      </c>
    </row>
    <row r="1489" spans="1:5" x14ac:dyDescent="0.3">
      <c r="A1489">
        <v>510</v>
      </c>
      <c r="B1489" t="s">
        <v>65</v>
      </c>
      <c r="C1489" s="1">
        <v>44599.572916666664</v>
      </c>
      <c r="D1489" s="1">
        <v>44600.708333333336</v>
      </c>
      <c r="E1489" s="17">
        <f>IF(Tablo2[[#This Row],[Başlangıç]]="","",(IF(Tablo2[[#This Row],[Bitiş]]="",($G$1-Tablo2[[#This Row],[Başlangıç]])*24,(Tablo2[[#This Row],[Bitiş]]-Tablo2[[#This Row],[Başlangıç]])*24)))</f>
        <v>27.250000000116415</v>
      </c>
    </row>
    <row r="1490" spans="1:5" x14ac:dyDescent="0.3">
      <c r="A1490">
        <v>511</v>
      </c>
      <c r="B1490" t="s">
        <v>36</v>
      </c>
      <c r="C1490" s="1">
        <v>44597.5</v>
      </c>
      <c r="D1490" s="1">
        <v>44599.28125</v>
      </c>
      <c r="E1490" s="17">
        <f>IF(Tablo2[[#This Row],[Başlangıç]]="","",(IF(Tablo2[[#This Row],[Bitiş]]="",($G$1-Tablo2[[#This Row],[Başlangıç]])*24,(Tablo2[[#This Row],[Bitiş]]-Tablo2[[#This Row],[Başlangıç]])*24)))</f>
        <v>42.75</v>
      </c>
    </row>
    <row r="1491" spans="1:5" x14ac:dyDescent="0.3">
      <c r="A1491">
        <v>511</v>
      </c>
      <c r="B1491" t="s">
        <v>84</v>
      </c>
      <c r="C1491" s="1">
        <v>44601.260416666664</v>
      </c>
      <c r="D1491" s="1">
        <v>44603.333333333336</v>
      </c>
      <c r="E1491" s="17">
        <f>IF(Tablo2[[#This Row],[Başlangıç]]="","",(IF(Tablo2[[#This Row],[Bitiş]]="",($G$1-Tablo2[[#This Row],[Başlangıç]])*24,(Tablo2[[#This Row],[Bitiş]]-Tablo2[[#This Row],[Başlangıç]])*24)))</f>
        <v>49.750000000116415</v>
      </c>
    </row>
    <row r="1492" spans="1:5" x14ac:dyDescent="0.3">
      <c r="A1492">
        <v>511</v>
      </c>
      <c r="B1492" t="s">
        <v>179</v>
      </c>
      <c r="C1492" s="1">
        <v>44597.5</v>
      </c>
      <c r="D1492" s="1">
        <v>44597.520833333336</v>
      </c>
      <c r="E149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93" spans="1:5" x14ac:dyDescent="0.3">
      <c r="A1493">
        <v>511</v>
      </c>
      <c r="B1493" t="s">
        <v>68</v>
      </c>
      <c r="C1493" s="1">
        <v>44601.315972222219</v>
      </c>
      <c r="D1493" s="1">
        <v>44603.916666666664</v>
      </c>
      <c r="E1493" s="17">
        <f>IF(Tablo2[[#This Row],[Başlangıç]]="","",(IF(Tablo2[[#This Row],[Bitiş]]="",($G$1-Tablo2[[#This Row],[Başlangıç]])*24,(Tablo2[[#This Row],[Bitiş]]-Tablo2[[#This Row],[Başlangıç]])*24)))</f>
        <v>62.416666666686069</v>
      </c>
    </row>
    <row r="1494" spans="1:5" x14ac:dyDescent="0.3">
      <c r="A1494">
        <v>511</v>
      </c>
      <c r="B1494" t="s">
        <v>37</v>
      </c>
      <c r="C1494" s="1">
        <v>44599.525000000001</v>
      </c>
      <c r="D1494" s="1">
        <v>44601.993055555555</v>
      </c>
      <c r="E1494" s="17">
        <f>IF(Tablo2[[#This Row],[Başlangıç]]="","",(IF(Tablo2[[#This Row],[Bitiş]]="",($G$1-Tablo2[[#This Row],[Başlangıç]])*24,(Tablo2[[#This Row],[Bitiş]]-Tablo2[[#This Row],[Başlangıç]])*24)))</f>
        <v>59.233333333279006</v>
      </c>
    </row>
    <row r="1495" spans="1:5" x14ac:dyDescent="0.3">
      <c r="A1495">
        <v>511</v>
      </c>
      <c r="B1495" t="s">
        <v>65</v>
      </c>
      <c r="C1495" s="1">
        <v>44600.479166666664</v>
      </c>
      <c r="D1495" s="1">
        <v>44601.244444444441</v>
      </c>
      <c r="E1495" s="17">
        <f>IF(Tablo2[[#This Row],[Başlangıç]]="","",(IF(Tablo2[[#This Row],[Bitiş]]="",($G$1-Tablo2[[#This Row],[Başlangıç]])*24,(Tablo2[[#This Row],[Bitiş]]-Tablo2[[#This Row],[Başlangıç]])*24)))</f>
        <v>18.366666666639503</v>
      </c>
    </row>
    <row r="1496" spans="1:5" x14ac:dyDescent="0.3">
      <c r="A1496">
        <v>512</v>
      </c>
      <c r="B1496" t="s">
        <v>36</v>
      </c>
      <c r="C1496" s="1">
        <v>44598.287499999999</v>
      </c>
      <c r="D1496" s="1">
        <v>44599.767361111109</v>
      </c>
      <c r="E1496" s="17">
        <f>IF(Tablo2[[#This Row],[Başlangıç]]="","",(IF(Tablo2[[#This Row],[Bitiş]]="",($G$1-Tablo2[[#This Row],[Başlangıç]])*24,(Tablo2[[#This Row],[Bitiş]]-Tablo2[[#This Row],[Başlangıç]])*24)))</f>
        <v>35.516666666662786</v>
      </c>
    </row>
    <row r="1497" spans="1:5" x14ac:dyDescent="0.3">
      <c r="A1497">
        <v>512</v>
      </c>
      <c r="B1497" t="s">
        <v>84</v>
      </c>
      <c r="C1497" s="1">
        <v>44602</v>
      </c>
      <c r="D1497" s="1">
        <v>44605.541666666664</v>
      </c>
      <c r="E1497" s="17">
        <f>IF(Tablo2[[#This Row],[Başlangıç]]="","",(IF(Tablo2[[#This Row],[Bitiş]]="",($G$1-Tablo2[[#This Row],[Başlangıç]])*24,(Tablo2[[#This Row],[Bitiş]]-Tablo2[[#This Row],[Başlangıç]])*24)))</f>
        <v>84.999999999941792</v>
      </c>
    </row>
    <row r="1498" spans="1:5" x14ac:dyDescent="0.3">
      <c r="A1498">
        <v>512</v>
      </c>
      <c r="B1498" t="s">
        <v>179</v>
      </c>
      <c r="C1498" s="1">
        <v>44598.287499999999</v>
      </c>
      <c r="D1498" s="1">
        <v>44598.308333333334</v>
      </c>
      <c r="E149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499" spans="1:5" x14ac:dyDescent="0.3">
      <c r="A1499">
        <v>512</v>
      </c>
      <c r="B1499" t="s">
        <v>68</v>
      </c>
      <c r="C1499" s="1">
        <v>44602</v>
      </c>
      <c r="D1499" s="1">
        <v>44605.6875</v>
      </c>
      <c r="E1499" s="17">
        <f>IF(Tablo2[[#This Row],[Başlangıç]]="","",(IF(Tablo2[[#This Row],[Bitiş]]="",($G$1-Tablo2[[#This Row],[Başlangıç]])*24,(Tablo2[[#This Row],[Bitiş]]-Tablo2[[#This Row],[Başlangıç]])*24)))</f>
        <v>88.5</v>
      </c>
    </row>
    <row r="1500" spans="1:5" x14ac:dyDescent="0.3">
      <c r="A1500">
        <v>512</v>
      </c>
      <c r="B1500" t="s">
        <v>37</v>
      </c>
      <c r="C1500" s="1">
        <v>44600.020833333336</v>
      </c>
      <c r="D1500" s="1">
        <v>44601.975694444445</v>
      </c>
      <c r="E1500" s="17">
        <f>IF(Tablo2[[#This Row],[Başlangıç]]="","",(IF(Tablo2[[#This Row],[Bitiş]]="",($G$1-Tablo2[[#This Row],[Başlangıç]])*24,(Tablo2[[#This Row],[Bitiş]]-Tablo2[[#This Row],[Başlangıç]])*24)))</f>
        <v>46.916666666627862</v>
      </c>
    </row>
    <row r="1501" spans="1:5" x14ac:dyDescent="0.3">
      <c r="A1501">
        <v>512</v>
      </c>
      <c r="B1501" t="s">
        <v>65</v>
      </c>
      <c r="C1501" s="1">
        <v>44603.78125</v>
      </c>
      <c r="D1501" s="1">
        <v>44605.555555555555</v>
      </c>
      <c r="E1501" s="17">
        <f>IF(Tablo2[[#This Row],[Başlangıç]]="","",(IF(Tablo2[[#This Row],[Bitiş]]="",($G$1-Tablo2[[#This Row],[Başlangıç]])*24,(Tablo2[[#This Row],[Bitiş]]-Tablo2[[#This Row],[Başlangıç]])*24)))</f>
        <v>42.583333333313931</v>
      </c>
    </row>
    <row r="1502" spans="1:5" x14ac:dyDescent="0.3">
      <c r="A1502">
        <v>513</v>
      </c>
      <c r="B1502" t="s">
        <v>36</v>
      </c>
      <c r="C1502" s="1">
        <v>44599.625</v>
      </c>
      <c r="D1502" s="1">
        <v>44600.291666666664</v>
      </c>
      <c r="E1502" s="17">
        <f>IF(Tablo2[[#This Row],[Başlangıç]]="","",(IF(Tablo2[[#This Row],[Bitiş]]="",($G$1-Tablo2[[#This Row],[Başlangıç]])*24,(Tablo2[[#This Row],[Bitiş]]-Tablo2[[#This Row],[Başlangıç]])*24)))</f>
        <v>15.999999999941792</v>
      </c>
    </row>
    <row r="1503" spans="1:5" x14ac:dyDescent="0.3">
      <c r="A1503">
        <v>513</v>
      </c>
      <c r="B1503" t="s">
        <v>84</v>
      </c>
      <c r="C1503" s="1">
        <v>44602.569444444445</v>
      </c>
      <c r="D1503" s="1">
        <v>44602.802083333336</v>
      </c>
      <c r="E1503" s="17">
        <f>IF(Tablo2[[#This Row],[Başlangıç]]="","",(IF(Tablo2[[#This Row],[Bitiş]]="",($G$1-Tablo2[[#This Row],[Başlangıç]])*24,(Tablo2[[#This Row],[Bitiş]]-Tablo2[[#This Row],[Başlangıç]])*24)))</f>
        <v>5.5833333333721384</v>
      </c>
    </row>
    <row r="1504" spans="1:5" x14ac:dyDescent="0.3">
      <c r="A1504">
        <v>513</v>
      </c>
      <c r="B1504" t="s">
        <v>179</v>
      </c>
      <c r="C1504" s="1">
        <v>44599.625</v>
      </c>
      <c r="D1504" s="1">
        <v>44599.645833333336</v>
      </c>
      <c r="E15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05" spans="1:5" x14ac:dyDescent="0.3">
      <c r="A1505">
        <v>513</v>
      </c>
      <c r="B1505" t="s">
        <v>68</v>
      </c>
      <c r="C1505" s="1">
        <v>44603.104166666664</v>
      </c>
      <c r="D1505" s="1">
        <v>44604.288194444445</v>
      </c>
      <c r="E1505" s="17">
        <f>IF(Tablo2[[#This Row],[Başlangıç]]="","",(IF(Tablo2[[#This Row],[Bitiş]]="",($G$1-Tablo2[[#This Row],[Başlangıç]])*24,(Tablo2[[#This Row],[Bitiş]]-Tablo2[[#This Row],[Başlangıç]])*24)))</f>
        <v>28.416666666744277</v>
      </c>
    </row>
    <row r="1506" spans="1:5" x14ac:dyDescent="0.3">
      <c r="A1506">
        <v>513</v>
      </c>
      <c r="B1506" t="s">
        <v>37</v>
      </c>
      <c r="C1506" s="1">
        <v>44600.4375</v>
      </c>
      <c r="D1506" s="1">
        <v>44602.384027777778</v>
      </c>
      <c r="E1506" s="17">
        <f>IF(Tablo2[[#This Row],[Başlangıç]]="","",(IF(Tablo2[[#This Row],[Bitiş]]="",($G$1-Tablo2[[#This Row],[Başlangıç]])*24,(Tablo2[[#This Row],[Bitiş]]-Tablo2[[#This Row],[Başlangıç]])*24)))</f>
        <v>46.716666666674428</v>
      </c>
    </row>
    <row r="1507" spans="1:5" x14ac:dyDescent="0.3">
      <c r="A1507">
        <v>513</v>
      </c>
      <c r="B1507" t="s">
        <v>65</v>
      </c>
      <c r="C1507" s="1">
        <v>44601.041666666664</v>
      </c>
      <c r="D1507" s="1">
        <v>44602.5</v>
      </c>
      <c r="E1507" s="17">
        <f>IF(Tablo2[[#This Row],[Başlangıç]]="","",(IF(Tablo2[[#This Row],[Bitiş]]="",($G$1-Tablo2[[#This Row],[Başlangıç]])*24,(Tablo2[[#This Row],[Bitiş]]-Tablo2[[#This Row],[Başlangıç]])*24)))</f>
        <v>35.000000000058208</v>
      </c>
    </row>
    <row r="1508" spans="1:5" x14ac:dyDescent="0.3">
      <c r="A1508">
        <v>514</v>
      </c>
      <c r="B1508" t="s">
        <v>36</v>
      </c>
      <c r="C1508" s="1">
        <v>44600.041666666664</v>
      </c>
      <c r="D1508" s="1">
        <v>44600.815972222219</v>
      </c>
      <c r="E1508" s="17">
        <f>IF(Tablo2[[#This Row],[Başlangıç]]="","",(IF(Tablo2[[#This Row],[Bitiş]]="",($G$1-Tablo2[[#This Row],[Başlangıç]])*24,(Tablo2[[#This Row],[Bitiş]]-Tablo2[[#This Row],[Başlangıç]])*24)))</f>
        <v>18.583333333313931</v>
      </c>
    </row>
    <row r="1509" spans="1:5" x14ac:dyDescent="0.3">
      <c r="A1509">
        <v>514</v>
      </c>
      <c r="B1509" t="s">
        <v>84</v>
      </c>
      <c r="C1509" s="1">
        <v>44602.982638888891</v>
      </c>
      <c r="D1509" s="1">
        <v>44603.208333333336</v>
      </c>
      <c r="E1509" s="17">
        <f>IF(Tablo2[[#This Row],[Başlangıç]]="","",(IF(Tablo2[[#This Row],[Bitiş]]="",($G$1-Tablo2[[#This Row],[Başlangıç]])*24,(Tablo2[[#This Row],[Bitiş]]-Tablo2[[#This Row],[Başlangıç]])*24)))</f>
        <v>5.4166666666860692</v>
      </c>
    </row>
    <row r="1510" spans="1:5" x14ac:dyDescent="0.3">
      <c r="A1510">
        <v>514</v>
      </c>
      <c r="B1510" t="s">
        <v>179</v>
      </c>
      <c r="C1510" s="1">
        <v>44600.041666666664</v>
      </c>
      <c r="D1510" s="1">
        <v>44600.0625</v>
      </c>
      <c r="E151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11" spans="1:5" x14ac:dyDescent="0.3">
      <c r="A1511">
        <v>514</v>
      </c>
      <c r="B1511" t="s">
        <v>68</v>
      </c>
      <c r="C1511" s="1">
        <v>44603.375</v>
      </c>
      <c r="D1511" s="1">
        <v>44605.9375</v>
      </c>
      <c r="E1511" s="17">
        <f>IF(Tablo2[[#This Row],[Başlangıç]]="","",(IF(Tablo2[[#This Row],[Bitiş]]="",($G$1-Tablo2[[#This Row],[Başlangıç]])*24,(Tablo2[[#This Row],[Bitiş]]-Tablo2[[#This Row],[Başlangıç]])*24)))</f>
        <v>61.5</v>
      </c>
    </row>
    <row r="1512" spans="1:5" x14ac:dyDescent="0.3">
      <c r="A1512">
        <v>514</v>
      </c>
      <c r="B1512" t="s">
        <v>37</v>
      </c>
      <c r="C1512" s="1">
        <v>44600.951388888891</v>
      </c>
      <c r="D1512" s="1">
        <v>44604.736111111109</v>
      </c>
      <c r="E1512" s="17">
        <f>IF(Tablo2[[#This Row],[Başlangıç]]="","",(IF(Tablo2[[#This Row],[Bitiş]]="",($G$1-Tablo2[[#This Row],[Başlangıç]])*24,(Tablo2[[#This Row],[Bitiş]]-Tablo2[[#This Row],[Başlangıç]])*24)))</f>
        <v>90.833333333255723</v>
      </c>
    </row>
    <row r="1513" spans="1:5" x14ac:dyDescent="0.3">
      <c r="A1513">
        <v>514</v>
      </c>
      <c r="B1513" t="s">
        <v>65</v>
      </c>
      <c r="C1513" s="1">
        <v>44602.166666666664</v>
      </c>
      <c r="D1513" s="1">
        <v>44602.965277777781</v>
      </c>
      <c r="E1513" s="17">
        <f>IF(Tablo2[[#This Row],[Başlangıç]]="","",(IF(Tablo2[[#This Row],[Bitiş]]="",($G$1-Tablo2[[#This Row],[Başlangıç]])*24,(Tablo2[[#This Row],[Bitiş]]-Tablo2[[#This Row],[Başlangıç]])*24)))</f>
        <v>19.166666666802485</v>
      </c>
    </row>
    <row r="1514" spans="1:5" x14ac:dyDescent="0.3">
      <c r="A1514">
        <v>515</v>
      </c>
      <c r="B1514" t="s">
        <v>36</v>
      </c>
      <c r="C1514" s="1">
        <v>44600.5</v>
      </c>
      <c r="D1514" s="1">
        <v>44609.333333333336</v>
      </c>
      <c r="E1514" s="17">
        <f>IF(Tablo2[[#This Row],[Başlangıç]]="","",(IF(Tablo2[[#This Row],[Bitiş]]="",($G$1-Tablo2[[#This Row],[Başlangıç]])*24,(Tablo2[[#This Row],[Bitiş]]-Tablo2[[#This Row],[Başlangıç]])*24)))</f>
        <v>212.00000000005821</v>
      </c>
    </row>
    <row r="1515" spans="1:5" x14ac:dyDescent="0.3">
      <c r="A1515">
        <v>515</v>
      </c>
      <c r="B1515" t="s">
        <v>84</v>
      </c>
      <c r="C1515" s="1">
        <v>44594.826388888891</v>
      </c>
      <c r="D1515" s="1">
        <v>44610.701388888891</v>
      </c>
      <c r="E1515" s="17">
        <f>IF(Tablo2[[#This Row],[Başlangıç]]="","",(IF(Tablo2[[#This Row],[Bitiş]]="",($G$1-Tablo2[[#This Row],[Başlangıç]])*24,(Tablo2[[#This Row],[Bitiş]]-Tablo2[[#This Row],[Başlangıç]])*24)))</f>
        <v>381</v>
      </c>
    </row>
    <row r="1516" spans="1:5" x14ac:dyDescent="0.3">
      <c r="A1516">
        <v>515</v>
      </c>
      <c r="B1516" t="s">
        <v>179</v>
      </c>
      <c r="C1516" s="1">
        <v>44600.5</v>
      </c>
      <c r="D1516" s="1">
        <v>44600.520833333336</v>
      </c>
      <c r="E151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17" spans="1:5" x14ac:dyDescent="0.3">
      <c r="A1517">
        <v>515</v>
      </c>
      <c r="B1517" t="s">
        <v>68</v>
      </c>
      <c r="C1517" s="1">
        <v>44605.347222222219</v>
      </c>
      <c r="D1517" s="1">
        <v>44610.612500000003</v>
      </c>
      <c r="E1517" s="17">
        <f>IF(Tablo2[[#This Row],[Başlangıç]]="","",(IF(Tablo2[[#This Row],[Bitiş]]="",($G$1-Tablo2[[#This Row],[Başlangıç]])*24,(Tablo2[[#This Row],[Bitiş]]-Tablo2[[#This Row],[Başlangıç]])*24)))</f>
        <v>126.36666666681413</v>
      </c>
    </row>
    <row r="1518" spans="1:5" x14ac:dyDescent="0.3">
      <c r="A1518">
        <v>515</v>
      </c>
      <c r="B1518" t="s">
        <v>37</v>
      </c>
      <c r="C1518" s="1">
        <v>44601.354166666664</v>
      </c>
      <c r="D1518" s="1">
        <v>44606.645833333336</v>
      </c>
      <c r="E1518" s="17">
        <f>IF(Tablo2[[#This Row],[Başlangıç]]="","",(IF(Tablo2[[#This Row],[Bitiş]]="",($G$1-Tablo2[[#This Row],[Başlangıç]])*24,(Tablo2[[#This Row],[Bitiş]]-Tablo2[[#This Row],[Başlangıç]])*24)))</f>
        <v>127.00000000011642</v>
      </c>
    </row>
    <row r="1519" spans="1:5" x14ac:dyDescent="0.3">
      <c r="A1519">
        <v>515</v>
      </c>
      <c r="B1519" t="s">
        <v>65</v>
      </c>
      <c r="C1519" s="1">
        <v>44602.069444444445</v>
      </c>
      <c r="D1519" s="1">
        <v>44604.572916666664</v>
      </c>
      <c r="E1519" s="17">
        <f>IF(Tablo2[[#This Row],[Başlangıç]]="","",(IF(Tablo2[[#This Row],[Bitiş]]="",($G$1-Tablo2[[#This Row],[Başlangıç]])*24,(Tablo2[[#This Row],[Bitiş]]-Tablo2[[#This Row],[Başlangıç]])*24)))</f>
        <v>60.083333333255723</v>
      </c>
    </row>
    <row r="1520" spans="1:5" x14ac:dyDescent="0.3">
      <c r="A1520">
        <v>516</v>
      </c>
      <c r="B1520" t="s">
        <v>36</v>
      </c>
      <c r="C1520" s="1">
        <v>44600.625</v>
      </c>
      <c r="D1520" s="1">
        <v>44609.333333333336</v>
      </c>
      <c r="E1520" s="17">
        <f>IF(Tablo2[[#This Row],[Başlangıç]]="","",(IF(Tablo2[[#This Row],[Bitiş]]="",($G$1-Tablo2[[#This Row],[Başlangıç]])*24,(Tablo2[[#This Row],[Bitiş]]-Tablo2[[#This Row],[Başlangıç]])*24)))</f>
        <v>209.00000000005821</v>
      </c>
    </row>
    <row r="1521" spans="1:5" x14ac:dyDescent="0.3">
      <c r="A1521">
        <v>516</v>
      </c>
      <c r="B1521" t="s">
        <v>84</v>
      </c>
      <c r="C1521" s="1">
        <v>44603.944444444445</v>
      </c>
      <c r="D1521" s="1">
        <v>44610.701388888891</v>
      </c>
      <c r="E1521" s="17">
        <f>IF(Tablo2[[#This Row],[Başlangıç]]="","",(IF(Tablo2[[#This Row],[Bitiş]]="",($G$1-Tablo2[[#This Row],[Başlangıç]])*24,(Tablo2[[#This Row],[Bitiş]]-Tablo2[[#This Row],[Başlangıç]])*24)))</f>
        <v>162.16666666668607</v>
      </c>
    </row>
    <row r="1522" spans="1:5" x14ac:dyDescent="0.3">
      <c r="A1522">
        <v>516</v>
      </c>
      <c r="B1522" t="s">
        <v>179</v>
      </c>
      <c r="C1522" s="1">
        <v>44600.625</v>
      </c>
      <c r="D1522" s="1">
        <v>44600.645833333336</v>
      </c>
      <c r="E15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23" spans="1:5" x14ac:dyDescent="0.3">
      <c r="A1523">
        <v>516</v>
      </c>
      <c r="B1523" t="s">
        <v>68</v>
      </c>
      <c r="C1523" s="1">
        <v>44608.083333333336</v>
      </c>
      <c r="D1523" s="1">
        <v>44609.134027777778</v>
      </c>
      <c r="E1523" s="17">
        <f>IF(Tablo2[[#This Row],[Başlangıç]]="","",(IF(Tablo2[[#This Row],[Bitiş]]="",($G$1-Tablo2[[#This Row],[Başlangıç]])*24,(Tablo2[[#This Row],[Bitiş]]-Tablo2[[#This Row],[Başlangıç]])*24)))</f>
        <v>25.21666666661622</v>
      </c>
    </row>
    <row r="1524" spans="1:5" x14ac:dyDescent="0.3">
      <c r="A1524">
        <v>516</v>
      </c>
      <c r="B1524" t="s">
        <v>37</v>
      </c>
      <c r="C1524" s="1">
        <v>44602.479166666664</v>
      </c>
      <c r="D1524" s="1">
        <v>44603.806944444441</v>
      </c>
      <c r="E1524" s="17">
        <f>IF(Tablo2[[#This Row],[Başlangıç]]="","",(IF(Tablo2[[#This Row],[Bitiş]]="",($G$1-Tablo2[[#This Row],[Başlangıç]])*24,(Tablo2[[#This Row],[Bitiş]]-Tablo2[[#This Row],[Başlangıç]])*24)))</f>
        <v>31.866666666639503</v>
      </c>
    </row>
    <row r="1525" spans="1:5" x14ac:dyDescent="0.3">
      <c r="A1525">
        <v>516</v>
      </c>
      <c r="B1525" t="s">
        <v>65</v>
      </c>
      <c r="C1525" s="1">
        <v>44603.104166666664</v>
      </c>
      <c r="D1525" s="1">
        <v>44603.5</v>
      </c>
      <c r="E1525" s="17">
        <f>IF(Tablo2[[#This Row],[Başlangıç]]="","",(IF(Tablo2[[#This Row],[Bitiş]]="",($G$1-Tablo2[[#This Row],[Başlangıç]])*24,(Tablo2[[#This Row],[Bitiş]]-Tablo2[[#This Row],[Başlangıç]])*24)))</f>
        <v>9.5000000000582077</v>
      </c>
    </row>
    <row r="1526" spans="1:5" x14ac:dyDescent="0.3">
      <c r="A1526">
        <v>517</v>
      </c>
      <c r="B1526" t="s">
        <v>36</v>
      </c>
      <c r="C1526" s="1">
        <v>44601.25</v>
      </c>
      <c r="D1526" s="1">
        <v>44609.333333333336</v>
      </c>
      <c r="E1526" s="17">
        <f>IF(Tablo2[[#This Row],[Başlangıç]]="","",(IF(Tablo2[[#This Row],[Bitiş]]="",($G$1-Tablo2[[#This Row],[Başlangıç]])*24,(Tablo2[[#This Row],[Bitiş]]-Tablo2[[#This Row],[Başlangıç]])*24)))</f>
        <v>194.00000000005821</v>
      </c>
    </row>
    <row r="1527" spans="1:5" x14ac:dyDescent="0.3">
      <c r="A1527">
        <v>517</v>
      </c>
      <c r="B1527" t="s">
        <v>84</v>
      </c>
      <c r="C1527" s="1">
        <v>44605.243055555555</v>
      </c>
      <c r="D1527" s="1">
        <v>44610.958333333336</v>
      </c>
      <c r="E1527" s="17">
        <f>IF(Tablo2[[#This Row],[Başlangıç]]="","",(IF(Tablo2[[#This Row],[Bitiş]]="",($G$1-Tablo2[[#This Row],[Başlangıç]])*24,(Tablo2[[#This Row],[Bitiş]]-Tablo2[[#This Row],[Başlangıç]])*24)))</f>
        <v>137.16666666674428</v>
      </c>
    </row>
    <row r="1528" spans="1:5" x14ac:dyDescent="0.3">
      <c r="A1528">
        <v>517</v>
      </c>
      <c r="B1528" t="s">
        <v>179</v>
      </c>
      <c r="C1528" s="1">
        <v>44601.25</v>
      </c>
      <c r="D1528" s="1">
        <v>44601.270833333336</v>
      </c>
      <c r="E15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29" spans="1:5" x14ac:dyDescent="0.3">
      <c r="A1529">
        <v>517</v>
      </c>
      <c r="B1529" t="s">
        <v>68</v>
      </c>
      <c r="C1529" s="1">
        <v>44605.541666666664</v>
      </c>
      <c r="D1529" s="1">
        <v>44611.347222222219</v>
      </c>
      <c r="E1529" s="17">
        <f>IF(Tablo2[[#This Row],[Başlangıç]]="","",(IF(Tablo2[[#This Row],[Bitiş]]="",($G$1-Tablo2[[#This Row],[Başlangıç]])*24,(Tablo2[[#This Row],[Bitiş]]-Tablo2[[#This Row],[Başlangıç]])*24)))</f>
        <v>139.33333333331393</v>
      </c>
    </row>
    <row r="1530" spans="1:5" x14ac:dyDescent="0.3">
      <c r="A1530">
        <v>517</v>
      </c>
      <c r="B1530" t="s">
        <v>37</v>
      </c>
      <c r="C1530" s="1">
        <v>44602.083333333336</v>
      </c>
      <c r="D1530" s="1">
        <v>44607.027777777781</v>
      </c>
      <c r="E1530" s="17">
        <f>IF(Tablo2[[#This Row],[Başlangıç]]="","",(IF(Tablo2[[#This Row],[Bitiş]]="",($G$1-Tablo2[[#This Row],[Başlangıç]])*24,(Tablo2[[#This Row],[Bitiş]]-Tablo2[[#This Row],[Başlangıç]])*24)))</f>
        <v>118.66666666668607</v>
      </c>
    </row>
    <row r="1531" spans="1:5" x14ac:dyDescent="0.3">
      <c r="A1531">
        <v>517</v>
      </c>
      <c r="B1531" t="s">
        <v>65</v>
      </c>
      <c r="C1531" s="1">
        <v>44604.416666666664</v>
      </c>
      <c r="D1531" s="1">
        <v>44611.376388888886</v>
      </c>
      <c r="E1531" s="17">
        <f>IF(Tablo2[[#This Row],[Başlangıç]]="","",(IF(Tablo2[[#This Row],[Bitiş]]="",($G$1-Tablo2[[#This Row],[Başlangıç]])*24,(Tablo2[[#This Row],[Bitiş]]-Tablo2[[#This Row],[Başlangıç]])*24)))</f>
        <v>167.03333333332557</v>
      </c>
    </row>
    <row r="1532" spans="1:5" x14ac:dyDescent="0.3">
      <c r="A1532">
        <v>518</v>
      </c>
      <c r="B1532" t="s">
        <v>36</v>
      </c>
      <c r="C1532" s="1">
        <v>44601.333333333336</v>
      </c>
      <c r="D1532" s="1">
        <v>44609.333333333336</v>
      </c>
      <c r="E1532" s="17">
        <f>IF(Tablo2[[#This Row],[Başlangıç]]="","",(IF(Tablo2[[#This Row],[Bitiş]]="",($G$1-Tablo2[[#This Row],[Başlangıç]])*24,(Tablo2[[#This Row],[Bitiş]]-Tablo2[[#This Row],[Başlangıç]])*24)))</f>
        <v>192</v>
      </c>
    </row>
    <row r="1533" spans="1:5" x14ac:dyDescent="0.3">
      <c r="A1533">
        <v>518</v>
      </c>
      <c r="B1533" t="s">
        <v>84</v>
      </c>
      <c r="C1533" s="1">
        <v>44605.611111111109</v>
      </c>
      <c r="D1533" s="1">
        <v>44610.701388888891</v>
      </c>
      <c r="E1533" s="17">
        <f>IF(Tablo2[[#This Row],[Başlangıç]]="","",(IF(Tablo2[[#This Row],[Bitiş]]="",($G$1-Tablo2[[#This Row],[Başlangıç]])*24,(Tablo2[[#This Row],[Bitiş]]-Tablo2[[#This Row],[Başlangıç]])*24)))</f>
        <v>122.16666666674428</v>
      </c>
    </row>
    <row r="1534" spans="1:5" x14ac:dyDescent="0.3">
      <c r="A1534">
        <v>518</v>
      </c>
      <c r="B1534" t="s">
        <v>179</v>
      </c>
      <c r="C1534" s="1">
        <v>44601.333333333336</v>
      </c>
      <c r="D1534" s="1">
        <v>44601.354166666664</v>
      </c>
      <c r="E153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35" spans="1:5" x14ac:dyDescent="0.3">
      <c r="A1535">
        <v>518</v>
      </c>
      <c r="B1535" t="s">
        <v>68</v>
      </c>
      <c r="C1535" s="1">
        <v>44606.055555555555</v>
      </c>
      <c r="D1535" s="1">
        <v>44608.784722222219</v>
      </c>
      <c r="E1535" s="17">
        <f>IF(Tablo2[[#This Row],[Başlangıç]]="","",(IF(Tablo2[[#This Row],[Bitiş]]="",($G$1-Tablo2[[#This Row],[Başlangıç]])*24,(Tablo2[[#This Row],[Bitiş]]-Tablo2[[#This Row],[Başlangıç]])*24)))</f>
        <v>65.499999999941792</v>
      </c>
    </row>
    <row r="1536" spans="1:5" x14ac:dyDescent="0.3">
      <c r="A1536">
        <v>518</v>
      </c>
      <c r="B1536" t="s">
        <v>37</v>
      </c>
      <c r="C1536" s="1">
        <v>44601.680555555555</v>
      </c>
      <c r="D1536" s="1">
        <v>44607.261805555558</v>
      </c>
      <c r="E1536" s="17">
        <f>IF(Tablo2[[#This Row],[Başlangıç]]="","",(IF(Tablo2[[#This Row],[Bitiş]]="",($G$1-Tablo2[[#This Row],[Başlangıç]])*24,(Tablo2[[#This Row],[Bitiş]]-Tablo2[[#This Row],[Başlangıç]])*24)))</f>
        <v>133.95000000006985</v>
      </c>
    </row>
    <row r="1537" spans="1:5" x14ac:dyDescent="0.3">
      <c r="A1537">
        <v>518</v>
      </c>
      <c r="B1537" t="s">
        <v>65</v>
      </c>
      <c r="C1537" s="1">
        <v>44605.177083333336</v>
      </c>
      <c r="D1537" s="1">
        <v>44605.541666666664</v>
      </c>
      <c r="E1537" s="17">
        <f>IF(Tablo2[[#This Row],[Başlangıç]]="","",(IF(Tablo2[[#This Row],[Bitiş]]="",($G$1-Tablo2[[#This Row],[Başlangıç]])*24,(Tablo2[[#This Row],[Bitiş]]-Tablo2[[#This Row],[Başlangıç]])*24)))</f>
        <v>8.7499999998835847</v>
      </c>
    </row>
    <row r="1538" spans="1:5" x14ac:dyDescent="0.3">
      <c r="A1538">
        <v>519</v>
      </c>
      <c r="B1538" t="s">
        <v>36</v>
      </c>
      <c r="C1538" s="1">
        <v>44602.416666666664</v>
      </c>
      <c r="D1538" s="1">
        <v>44609.333333333336</v>
      </c>
      <c r="E1538" s="17">
        <f>IF(Tablo2[[#This Row],[Başlangıç]]="","",(IF(Tablo2[[#This Row],[Bitiş]]="",($G$1-Tablo2[[#This Row],[Başlangıç]])*24,(Tablo2[[#This Row],[Bitiş]]-Tablo2[[#This Row],[Başlangıç]])*24)))</f>
        <v>166.00000000011642</v>
      </c>
    </row>
    <row r="1539" spans="1:5" x14ac:dyDescent="0.3">
      <c r="A1539">
        <v>519</v>
      </c>
      <c r="B1539" t="s">
        <v>84</v>
      </c>
      <c r="C1539" s="1">
        <v>44606.142361111109</v>
      </c>
      <c r="D1539" s="1">
        <v>44610.701388888891</v>
      </c>
      <c r="E1539" s="17">
        <f>IF(Tablo2[[#This Row],[Başlangıç]]="","",(IF(Tablo2[[#This Row],[Bitiş]]="",($G$1-Tablo2[[#This Row],[Başlangıç]])*24,(Tablo2[[#This Row],[Bitiş]]-Tablo2[[#This Row],[Başlangıç]])*24)))</f>
        <v>109.41666666674428</v>
      </c>
    </row>
    <row r="1540" spans="1:5" x14ac:dyDescent="0.3">
      <c r="A1540">
        <v>519</v>
      </c>
      <c r="B1540" t="s">
        <v>179</v>
      </c>
      <c r="C1540" s="1">
        <v>44602.416666666664</v>
      </c>
      <c r="D1540" s="1">
        <v>44602.4375</v>
      </c>
      <c r="E154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41" spans="1:5" x14ac:dyDescent="0.3">
      <c r="A1541">
        <v>519</v>
      </c>
      <c r="B1541" t="s">
        <v>68</v>
      </c>
      <c r="C1541" s="1">
        <v>44606.354166666664</v>
      </c>
      <c r="D1541" s="1">
        <v>44607.482638888891</v>
      </c>
      <c r="E1541" s="17">
        <f>IF(Tablo2[[#This Row],[Başlangıç]]="","",(IF(Tablo2[[#This Row],[Bitiş]]="",($G$1-Tablo2[[#This Row],[Başlangıç]])*24,(Tablo2[[#This Row],[Bitiş]]-Tablo2[[#This Row],[Başlangıç]])*24)))</f>
        <v>27.083333333430346</v>
      </c>
    </row>
    <row r="1542" spans="1:5" x14ac:dyDescent="0.3">
      <c r="A1542">
        <v>519</v>
      </c>
      <c r="B1542" t="s">
        <v>37</v>
      </c>
      <c r="C1542" s="1">
        <v>44603.680555555555</v>
      </c>
      <c r="D1542" s="1">
        <v>44606.965277777781</v>
      </c>
      <c r="E1542" s="17">
        <f>IF(Tablo2[[#This Row],[Başlangıç]]="","",(IF(Tablo2[[#This Row],[Bitiş]]="",($G$1-Tablo2[[#This Row],[Başlangıç]])*24,(Tablo2[[#This Row],[Bitiş]]-Tablo2[[#This Row],[Başlangıç]])*24)))</f>
        <v>78.833333333430346</v>
      </c>
    </row>
    <row r="1543" spans="1:5" x14ac:dyDescent="0.3">
      <c r="A1543">
        <v>519</v>
      </c>
      <c r="B1543" t="s">
        <v>65</v>
      </c>
      <c r="C1543" s="1">
        <v>44605.708333333336</v>
      </c>
      <c r="D1543" s="1">
        <v>44606.125</v>
      </c>
      <c r="E1543" s="17">
        <f>IF(Tablo2[[#This Row],[Başlangıç]]="","",(IF(Tablo2[[#This Row],[Bitiş]]="",($G$1-Tablo2[[#This Row],[Başlangıç]])*24,(Tablo2[[#This Row],[Bitiş]]-Tablo2[[#This Row],[Başlangıç]])*24)))</f>
        <v>9.9999999999417923</v>
      </c>
    </row>
    <row r="1544" spans="1:5" x14ac:dyDescent="0.3">
      <c r="A1544">
        <v>520</v>
      </c>
      <c r="B1544" t="s">
        <v>36</v>
      </c>
      <c r="C1544" s="1">
        <v>44602.388888888891</v>
      </c>
      <c r="D1544" s="1">
        <v>44609.333333333336</v>
      </c>
      <c r="E1544" s="17">
        <f>IF(Tablo2[[#This Row],[Başlangıç]]="","",(IF(Tablo2[[#This Row],[Bitiş]]="",($G$1-Tablo2[[#This Row],[Başlangıç]])*24,(Tablo2[[#This Row],[Bitiş]]-Tablo2[[#This Row],[Başlangıç]])*24)))</f>
        <v>166.66666666668607</v>
      </c>
    </row>
    <row r="1545" spans="1:5" x14ac:dyDescent="0.3">
      <c r="A1545">
        <v>520</v>
      </c>
      <c r="B1545" t="s">
        <v>84</v>
      </c>
      <c r="C1545" s="1">
        <v>44608.1875</v>
      </c>
      <c r="D1545" s="1">
        <v>44610.701388888891</v>
      </c>
      <c r="E1545" s="17">
        <f>IF(Tablo2[[#This Row],[Başlangıç]]="","",(IF(Tablo2[[#This Row],[Bitiş]]="",($G$1-Tablo2[[#This Row],[Başlangıç]])*24,(Tablo2[[#This Row],[Bitiş]]-Tablo2[[#This Row],[Başlangıç]])*24)))</f>
        <v>60.333333333372138</v>
      </c>
    </row>
    <row r="1546" spans="1:5" x14ac:dyDescent="0.3">
      <c r="A1546">
        <v>520</v>
      </c>
      <c r="B1546" t="s">
        <v>179</v>
      </c>
      <c r="C1546" s="1">
        <v>44602.388888888891</v>
      </c>
      <c r="D1546" s="1">
        <v>44602.409722222219</v>
      </c>
      <c r="E15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47" spans="1:5" x14ac:dyDescent="0.3">
      <c r="A1547">
        <v>520</v>
      </c>
      <c r="B1547" t="s">
        <v>68</v>
      </c>
      <c r="C1547" s="1">
        <v>44609.75</v>
      </c>
      <c r="D1547" s="1">
        <v>44610.659722222219</v>
      </c>
      <c r="E1547" s="17">
        <f>IF(Tablo2[[#This Row],[Başlangıç]]="","",(IF(Tablo2[[#This Row],[Bitiş]]="",($G$1-Tablo2[[#This Row],[Başlangıç]])*24,(Tablo2[[#This Row],[Bitiş]]-Tablo2[[#This Row],[Başlangıç]])*24)))</f>
        <v>21.833333333255723</v>
      </c>
    </row>
    <row r="1548" spans="1:5" x14ac:dyDescent="0.3">
      <c r="A1548">
        <v>520</v>
      </c>
      <c r="B1548" t="s">
        <v>37</v>
      </c>
      <c r="C1548" s="1">
        <v>44603.75</v>
      </c>
      <c r="D1548" s="1">
        <v>44610.615972222222</v>
      </c>
      <c r="E1548" s="17">
        <f>IF(Tablo2[[#This Row],[Başlangıç]]="","",(IF(Tablo2[[#This Row],[Bitiş]]="",($G$1-Tablo2[[#This Row],[Başlangıç]])*24,(Tablo2[[#This Row],[Bitiş]]-Tablo2[[#This Row],[Başlangıç]])*24)))</f>
        <v>164.78333333332557</v>
      </c>
    </row>
    <row r="1549" spans="1:5" x14ac:dyDescent="0.3">
      <c r="A1549">
        <v>520</v>
      </c>
      <c r="B1549" t="s">
        <v>65</v>
      </c>
      <c r="C1549" s="1">
        <v>44607.215277777781</v>
      </c>
      <c r="D1549" s="1">
        <v>44610.60833333333</v>
      </c>
      <c r="E1549" s="17">
        <f>IF(Tablo2[[#This Row],[Başlangıç]]="","",(IF(Tablo2[[#This Row],[Bitiş]]="",($G$1-Tablo2[[#This Row],[Başlangıç]])*24,(Tablo2[[#This Row],[Bitiş]]-Tablo2[[#This Row],[Başlangıç]])*24)))</f>
        <v>81.433333333174232</v>
      </c>
    </row>
    <row r="1550" spans="1:5" x14ac:dyDescent="0.3">
      <c r="A1550">
        <v>521</v>
      </c>
      <c r="B1550" t="s">
        <v>36</v>
      </c>
      <c r="C1550" s="1">
        <v>44602.583333333336</v>
      </c>
      <c r="D1550" s="1">
        <v>44609.333333333336</v>
      </c>
      <c r="E1550" s="17">
        <f>IF(Tablo2[[#This Row],[Başlangıç]]="","",(IF(Tablo2[[#This Row],[Bitiş]]="",($G$1-Tablo2[[#This Row],[Başlangıç]])*24,(Tablo2[[#This Row],[Bitiş]]-Tablo2[[#This Row],[Başlangıç]])*24)))</f>
        <v>162</v>
      </c>
    </row>
    <row r="1551" spans="1:5" x14ac:dyDescent="0.3">
      <c r="A1551">
        <v>521</v>
      </c>
      <c r="B1551" t="s">
        <v>84</v>
      </c>
      <c r="C1551" s="1">
        <v>44606.708333333336</v>
      </c>
      <c r="D1551" s="1">
        <v>44610.701388888891</v>
      </c>
      <c r="E1551" s="17">
        <f>IF(Tablo2[[#This Row],[Başlangıç]]="","",(IF(Tablo2[[#This Row],[Bitiş]]="",($G$1-Tablo2[[#This Row],[Başlangıç]])*24,(Tablo2[[#This Row],[Bitiş]]-Tablo2[[#This Row],[Başlangıç]])*24)))</f>
        <v>95.833333333313931</v>
      </c>
    </row>
    <row r="1552" spans="1:5" x14ac:dyDescent="0.3">
      <c r="A1552">
        <v>521</v>
      </c>
      <c r="B1552" t="s">
        <v>179</v>
      </c>
      <c r="C1552" s="1">
        <v>44602.583333333336</v>
      </c>
      <c r="D1552" s="1">
        <v>44602.604166666664</v>
      </c>
      <c r="E155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53" spans="1:5" x14ac:dyDescent="0.3">
      <c r="A1553">
        <v>521</v>
      </c>
      <c r="B1553" t="s">
        <v>68</v>
      </c>
      <c r="C1553" s="1">
        <v>44607.684027777781</v>
      </c>
      <c r="D1553" s="1">
        <v>44609.78125</v>
      </c>
      <c r="E1553" s="17">
        <f>IF(Tablo2[[#This Row],[Başlangıç]]="","",(IF(Tablo2[[#This Row],[Bitiş]]="",($G$1-Tablo2[[#This Row],[Başlangıç]])*24,(Tablo2[[#This Row],[Bitiş]]-Tablo2[[#This Row],[Başlangıç]])*24)))</f>
        <v>50.333333333255723</v>
      </c>
    </row>
    <row r="1554" spans="1:5" x14ac:dyDescent="0.3">
      <c r="A1554">
        <v>521</v>
      </c>
      <c r="B1554" t="s">
        <v>37</v>
      </c>
      <c r="C1554" s="1">
        <v>44604.534722222219</v>
      </c>
      <c r="D1554" s="1">
        <v>44610.454861111109</v>
      </c>
      <c r="E1554" s="17">
        <f>IF(Tablo2[[#This Row],[Başlangıç]]="","",(IF(Tablo2[[#This Row],[Bitiş]]="",($G$1-Tablo2[[#This Row],[Başlangıç]])*24,(Tablo2[[#This Row],[Bitiş]]-Tablo2[[#This Row],[Başlangıç]])*24)))</f>
        <v>142.08333333337214</v>
      </c>
    </row>
    <row r="1555" spans="1:5" x14ac:dyDescent="0.3">
      <c r="A1555">
        <v>521</v>
      </c>
      <c r="B1555" t="s">
        <v>65</v>
      </c>
      <c r="C1555" s="1">
        <v>44606.055555555555</v>
      </c>
      <c r="D1555" s="1">
        <v>44606.555555555555</v>
      </c>
      <c r="E1555" s="17">
        <f>IF(Tablo2[[#This Row],[Başlangıç]]="","",(IF(Tablo2[[#This Row],[Bitiş]]="",($G$1-Tablo2[[#This Row],[Başlangıç]])*24,(Tablo2[[#This Row],[Bitiş]]-Tablo2[[#This Row],[Başlangıç]])*24)))</f>
        <v>12</v>
      </c>
    </row>
    <row r="1556" spans="1:5" x14ac:dyDescent="0.3">
      <c r="A1556">
        <v>522</v>
      </c>
      <c r="B1556" t="s">
        <v>36</v>
      </c>
      <c r="C1556" s="1">
        <v>44603.708333333336</v>
      </c>
      <c r="D1556" s="1">
        <v>44609.333333333336</v>
      </c>
      <c r="E1556" s="17">
        <f>IF(Tablo2[[#This Row],[Başlangıç]]="","",(IF(Tablo2[[#This Row],[Bitiş]]="",($G$1-Tablo2[[#This Row],[Başlangıç]])*24,(Tablo2[[#This Row],[Bitiş]]-Tablo2[[#This Row],[Başlangıç]])*24)))</f>
        <v>135</v>
      </c>
    </row>
    <row r="1557" spans="1:5" x14ac:dyDescent="0.3">
      <c r="A1557">
        <v>522</v>
      </c>
      <c r="B1557" t="s">
        <v>84</v>
      </c>
      <c r="C1557" s="1">
        <v>44607.284722222219</v>
      </c>
      <c r="D1557" s="1">
        <v>44612.46875</v>
      </c>
      <c r="E1557" s="17">
        <f>IF(Tablo2[[#This Row],[Başlangıç]]="","",(IF(Tablo2[[#This Row],[Bitiş]]="",($G$1-Tablo2[[#This Row],[Başlangıç]])*24,(Tablo2[[#This Row],[Bitiş]]-Tablo2[[#This Row],[Başlangıç]])*24)))</f>
        <v>124.41666666674428</v>
      </c>
    </row>
    <row r="1558" spans="1:5" x14ac:dyDescent="0.3">
      <c r="A1558">
        <v>522</v>
      </c>
      <c r="B1558" t="s">
        <v>179</v>
      </c>
      <c r="C1558" s="1">
        <v>44603.708333333336</v>
      </c>
      <c r="D1558" s="1">
        <v>44603.729166666664</v>
      </c>
      <c r="E15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59" spans="1:5" x14ac:dyDescent="0.3">
      <c r="A1559">
        <v>522</v>
      </c>
      <c r="B1559" t="s">
        <v>68</v>
      </c>
      <c r="C1559" s="1">
        <v>44609.385416666664</v>
      </c>
      <c r="D1559" s="1">
        <v>44612.509722222225</v>
      </c>
      <c r="E1559" s="17">
        <f>IF(Tablo2[[#This Row],[Başlangıç]]="","",(IF(Tablo2[[#This Row],[Bitiş]]="",($G$1-Tablo2[[#This Row],[Başlangıç]])*24,(Tablo2[[#This Row],[Bitiş]]-Tablo2[[#This Row],[Başlangıç]])*24)))</f>
        <v>74.983333333453629</v>
      </c>
    </row>
    <row r="1560" spans="1:5" x14ac:dyDescent="0.3">
      <c r="A1560">
        <v>522</v>
      </c>
      <c r="B1560" t="s">
        <v>37</v>
      </c>
      <c r="C1560" s="1">
        <v>44604.111111111109</v>
      </c>
      <c r="D1560" s="1">
        <v>44610.541666666664</v>
      </c>
      <c r="E1560" s="17">
        <f>IF(Tablo2[[#This Row],[Başlangıç]]="","",(IF(Tablo2[[#This Row],[Bitiş]]="",($G$1-Tablo2[[#This Row],[Başlangıç]])*24,(Tablo2[[#This Row],[Bitiş]]-Tablo2[[#This Row],[Başlangıç]])*24)))</f>
        <v>154.33333333331393</v>
      </c>
    </row>
    <row r="1561" spans="1:5" x14ac:dyDescent="0.3">
      <c r="A1561">
        <v>522</v>
      </c>
      <c r="B1561" t="s">
        <v>65</v>
      </c>
      <c r="C1561" s="1">
        <v>44606.681944444441</v>
      </c>
      <c r="D1561" s="1">
        <v>44607.270833333336</v>
      </c>
      <c r="E1561" s="17">
        <f>IF(Tablo2[[#This Row],[Başlangıç]]="","",(IF(Tablo2[[#This Row],[Bitiş]]="",($G$1-Tablo2[[#This Row],[Başlangıç]])*24,(Tablo2[[#This Row],[Bitiş]]-Tablo2[[#This Row],[Başlangıç]])*24)))</f>
        <v>14.133333333476912</v>
      </c>
    </row>
    <row r="1562" spans="1:5" x14ac:dyDescent="0.3">
      <c r="A1562">
        <v>523</v>
      </c>
      <c r="B1562" t="s">
        <v>36</v>
      </c>
      <c r="C1562" s="1">
        <v>44603.981944444444</v>
      </c>
      <c r="D1562" s="1">
        <v>44609.333333333336</v>
      </c>
      <c r="E1562" s="17">
        <f>IF(Tablo2[[#This Row],[Başlangıç]]="","",(IF(Tablo2[[#This Row],[Bitiş]]="",($G$1-Tablo2[[#This Row],[Başlangıç]])*24,(Tablo2[[#This Row],[Bitiş]]-Tablo2[[#This Row],[Başlangıç]])*24)))</f>
        <v>128.43333333340706</v>
      </c>
    </row>
    <row r="1563" spans="1:5" x14ac:dyDescent="0.3">
      <c r="A1563">
        <v>523</v>
      </c>
      <c r="B1563" t="s">
        <v>84</v>
      </c>
      <c r="C1563" s="1">
        <v>44608.9375</v>
      </c>
      <c r="D1563" s="1">
        <v>44611.6875</v>
      </c>
      <c r="E1563" s="17">
        <f>IF(Tablo2[[#This Row],[Başlangıç]]="","",(IF(Tablo2[[#This Row],[Bitiş]]="",($G$1-Tablo2[[#This Row],[Başlangıç]])*24,(Tablo2[[#This Row],[Bitiş]]-Tablo2[[#This Row],[Başlangıç]])*24)))</f>
        <v>66</v>
      </c>
    </row>
    <row r="1564" spans="1:5" x14ac:dyDescent="0.3">
      <c r="A1564">
        <v>523</v>
      </c>
      <c r="B1564" t="s">
        <v>179</v>
      </c>
      <c r="C1564" s="1">
        <v>44603.981944444444</v>
      </c>
      <c r="D1564" s="1">
        <v>44604.00277777778</v>
      </c>
      <c r="E15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65" spans="1:5" x14ac:dyDescent="0.3">
      <c r="A1565">
        <v>523</v>
      </c>
      <c r="B1565" t="s">
        <v>68</v>
      </c>
      <c r="C1565" s="1">
        <v>44609.458333333336</v>
      </c>
      <c r="D1565" s="1">
        <v>44613.729166666664</v>
      </c>
      <c r="E1565" s="17">
        <f>IF(Tablo2[[#This Row],[Başlangıç]]="","",(IF(Tablo2[[#This Row],[Bitiş]]="",($G$1-Tablo2[[#This Row],[Başlangıç]])*24,(Tablo2[[#This Row],[Bitiş]]-Tablo2[[#This Row],[Başlangıç]])*24)))</f>
        <v>102.49999999988358</v>
      </c>
    </row>
    <row r="1566" spans="1:5" x14ac:dyDescent="0.3">
      <c r="A1566">
        <v>523</v>
      </c>
      <c r="B1566" t="s">
        <v>37</v>
      </c>
      <c r="C1566" s="1">
        <v>44604.583333333336</v>
      </c>
      <c r="D1566" s="1">
        <v>44607.784722222219</v>
      </c>
      <c r="E1566" s="17">
        <f>IF(Tablo2[[#This Row],[Başlangıç]]="","",(IF(Tablo2[[#This Row],[Bitiş]]="",($G$1-Tablo2[[#This Row],[Başlangıç]])*24,(Tablo2[[#This Row],[Bitiş]]-Tablo2[[#This Row],[Başlangıç]])*24)))</f>
        <v>76.833333333197515</v>
      </c>
    </row>
    <row r="1567" spans="1:5" x14ac:dyDescent="0.3">
      <c r="A1567">
        <v>523</v>
      </c>
      <c r="B1567" t="s">
        <v>65</v>
      </c>
      <c r="C1567" s="1">
        <v>44608.003472222219</v>
      </c>
      <c r="D1567" s="1">
        <v>44608.907638888886</v>
      </c>
      <c r="E1567" s="17">
        <f>IF(Tablo2[[#This Row],[Başlangıç]]="","",(IF(Tablo2[[#This Row],[Bitiş]]="",($G$1-Tablo2[[#This Row],[Başlangıç]])*24,(Tablo2[[#This Row],[Bitiş]]-Tablo2[[#This Row],[Başlangıç]])*24)))</f>
        <v>21.700000000011642</v>
      </c>
    </row>
    <row r="1568" spans="1:5" x14ac:dyDescent="0.3">
      <c r="A1568">
        <v>524</v>
      </c>
      <c r="B1568" t="s">
        <v>36</v>
      </c>
      <c r="C1568" s="1">
        <v>44604.833333333336</v>
      </c>
      <c r="D1568" s="1">
        <v>44609.333333333336</v>
      </c>
      <c r="E1568" s="17">
        <f>IF(Tablo2[[#This Row],[Başlangıç]]="","",(IF(Tablo2[[#This Row],[Bitiş]]="",($G$1-Tablo2[[#This Row],[Başlangıç]])*24,(Tablo2[[#This Row],[Bitiş]]-Tablo2[[#This Row],[Başlangıç]])*24)))</f>
        <v>108</v>
      </c>
    </row>
    <row r="1569" spans="1:5" x14ac:dyDescent="0.3">
      <c r="A1569">
        <v>524</v>
      </c>
      <c r="B1569" t="s">
        <v>84</v>
      </c>
      <c r="C1569" s="1">
        <v>44609.229166666664</v>
      </c>
      <c r="D1569" s="1">
        <v>44611.645833333336</v>
      </c>
      <c r="E1569" s="17">
        <f>IF(Tablo2[[#This Row],[Başlangıç]]="","",(IF(Tablo2[[#This Row],[Bitiş]]="",($G$1-Tablo2[[#This Row],[Başlangıç]])*24,(Tablo2[[#This Row],[Bitiş]]-Tablo2[[#This Row],[Başlangıç]])*24)))</f>
        <v>58.000000000116415</v>
      </c>
    </row>
    <row r="1570" spans="1:5" x14ac:dyDescent="0.3">
      <c r="A1570">
        <v>524</v>
      </c>
      <c r="B1570" t="s">
        <v>179</v>
      </c>
      <c r="C1570" s="1">
        <v>44604.833333333336</v>
      </c>
      <c r="D1570" s="1">
        <v>44604.854166666664</v>
      </c>
      <c r="E157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71" spans="1:5" x14ac:dyDescent="0.3">
      <c r="A1571">
        <v>524</v>
      </c>
      <c r="B1571" t="s">
        <v>68</v>
      </c>
      <c r="C1571" s="1">
        <v>44610.416666666664</v>
      </c>
      <c r="D1571" s="1">
        <v>44611.756944444445</v>
      </c>
      <c r="E1571" s="17">
        <f>IF(Tablo2[[#This Row],[Başlangıç]]="","",(IF(Tablo2[[#This Row],[Bitiş]]="",($G$1-Tablo2[[#This Row],[Başlangıç]])*24,(Tablo2[[#This Row],[Bitiş]]-Tablo2[[#This Row],[Başlangıç]])*24)))</f>
        <v>32.166666666744277</v>
      </c>
    </row>
    <row r="1572" spans="1:5" x14ac:dyDescent="0.3">
      <c r="A1572">
        <v>524</v>
      </c>
      <c r="B1572" t="s">
        <v>37</v>
      </c>
      <c r="C1572" s="1">
        <v>44607.284722222219</v>
      </c>
      <c r="D1572" s="1">
        <v>44611.664583333331</v>
      </c>
      <c r="E1572" s="17">
        <f>IF(Tablo2[[#This Row],[Başlangıç]]="","",(IF(Tablo2[[#This Row],[Bitiş]]="",($G$1-Tablo2[[#This Row],[Başlangıç]])*24,(Tablo2[[#This Row],[Bitiş]]-Tablo2[[#This Row],[Başlangıç]])*24)))</f>
        <v>105.11666666669771</v>
      </c>
    </row>
    <row r="1573" spans="1:5" x14ac:dyDescent="0.3">
      <c r="A1573">
        <v>524</v>
      </c>
      <c r="B1573" t="s">
        <v>65</v>
      </c>
      <c r="C1573" s="1">
        <v>44608.34375</v>
      </c>
      <c r="D1573" s="1">
        <v>44609.121527777781</v>
      </c>
      <c r="E1573" s="17">
        <f>IF(Tablo2[[#This Row],[Başlangıç]]="","",(IF(Tablo2[[#This Row],[Bitiş]]="",($G$1-Tablo2[[#This Row],[Başlangıç]])*24,(Tablo2[[#This Row],[Bitiş]]-Tablo2[[#This Row],[Başlangıç]])*24)))</f>
        <v>18.666666666744277</v>
      </c>
    </row>
    <row r="1574" spans="1:5" x14ac:dyDescent="0.3">
      <c r="A1574">
        <v>525</v>
      </c>
      <c r="B1574" t="s">
        <v>36</v>
      </c>
      <c r="C1574" s="1">
        <v>44605.00277777778</v>
      </c>
      <c r="D1574" s="1">
        <v>44609.333333333336</v>
      </c>
      <c r="E1574" s="17">
        <f>IF(Tablo2[[#This Row],[Başlangıç]]="","",(IF(Tablo2[[#This Row],[Bitiş]]="",($G$1-Tablo2[[#This Row],[Başlangıç]])*24,(Tablo2[[#This Row],[Bitiş]]-Tablo2[[#This Row],[Başlangıç]])*24)))</f>
        <v>103.93333333334886</v>
      </c>
    </row>
    <row r="1575" spans="1:5" x14ac:dyDescent="0.3">
      <c r="A1575">
        <v>525</v>
      </c>
      <c r="B1575" t="s">
        <v>84</v>
      </c>
      <c r="C1575" s="1">
        <v>44609.864583333336</v>
      </c>
      <c r="D1575" s="1">
        <v>44610.916666666664</v>
      </c>
      <c r="E1575" s="17">
        <f>IF(Tablo2[[#This Row],[Başlangıç]]="","",(IF(Tablo2[[#This Row],[Bitiş]]="",($G$1-Tablo2[[#This Row],[Başlangıç]])*24,(Tablo2[[#This Row],[Bitiş]]-Tablo2[[#This Row],[Başlangıç]])*24)))</f>
        <v>25.249999999883585</v>
      </c>
    </row>
    <row r="1576" spans="1:5" x14ac:dyDescent="0.3">
      <c r="A1576">
        <v>525</v>
      </c>
      <c r="B1576" t="s">
        <v>179</v>
      </c>
      <c r="C1576" s="1">
        <v>44605.00277777778</v>
      </c>
      <c r="D1576" s="1">
        <v>44605.023611111108</v>
      </c>
      <c r="E157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577" spans="1:5" x14ac:dyDescent="0.3">
      <c r="A1577">
        <v>525</v>
      </c>
      <c r="B1577" t="s">
        <v>68</v>
      </c>
      <c r="C1577" s="1">
        <v>44611.479166666664</v>
      </c>
      <c r="D1577" s="1">
        <v>44614.770833333336</v>
      </c>
      <c r="E1577" s="17">
        <f>IF(Tablo2[[#This Row],[Başlangıç]]="","",(IF(Tablo2[[#This Row],[Bitiş]]="",($G$1-Tablo2[[#This Row],[Başlangıç]])*24,(Tablo2[[#This Row],[Bitiş]]-Tablo2[[#This Row],[Başlangıç]])*24)))</f>
        <v>79.000000000116415</v>
      </c>
    </row>
    <row r="1578" spans="1:5" x14ac:dyDescent="0.3">
      <c r="A1578">
        <v>525</v>
      </c>
      <c r="B1578" t="s">
        <v>37</v>
      </c>
      <c r="C1578" s="1">
        <v>44605.40625</v>
      </c>
      <c r="D1578" s="1">
        <v>44608.980555555558</v>
      </c>
      <c r="E1578" s="17">
        <f>IF(Tablo2[[#This Row],[Başlangıç]]="","",(IF(Tablo2[[#This Row],[Bitiş]]="",($G$1-Tablo2[[#This Row],[Başlangıç]])*24,(Tablo2[[#This Row],[Bitiş]]-Tablo2[[#This Row],[Başlangıç]])*24)))</f>
        <v>85.78333333338378</v>
      </c>
    </row>
    <row r="1579" spans="1:5" x14ac:dyDescent="0.3">
      <c r="A1579">
        <v>525</v>
      </c>
      <c r="B1579" t="s">
        <v>65</v>
      </c>
      <c r="C1579" s="1">
        <v>44608.879166666666</v>
      </c>
      <c r="D1579" s="1">
        <v>44609.277777777781</v>
      </c>
      <c r="E1579" s="17">
        <f>IF(Tablo2[[#This Row],[Başlangıç]]="","",(IF(Tablo2[[#This Row],[Bitiş]]="",($G$1-Tablo2[[#This Row],[Başlangıç]])*24,(Tablo2[[#This Row],[Bitiş]]-Tablo2[[#This Row],[Başlangıç]])*24)))</f>
        <v>9.5666666667675599</v>
      </c>
    </row>
    <row r="1580" spans="1:5" x14ac:dyDescent="0.3">
      <c r="A1580">
        <v>526</v>
      </c>
      <c r="B1580" t="s">
        <v>36</v>
      </c>
      <c r="C1580" s="1">
        <v>44606.791666666664</v>
      </c>
      <c r="D1580" s="1">
        <v>44609.333333333336</v>
      </c>
      <c r="E1580" s="17">
        <f>IF(Tablo2[[#This Row],[Başlangıç]]="","",(IF(Tablo2[[#This Row],[Bitiş]]="",($G$1-Tablo2[[#This Row],[Başlangıç]])*24,(Tablo2[[#This Row],[Bitiş]]-Tablo2[[#This Row],[Başlangıç]])*24)))</f>
        <v>61.000000000116415</v>
      </c>
    </row>
    <row r="1581" spans="1:5" x14ac:dyDescent="0.3">
      <c r="A1581">
        <v>526</v>
      </c>
      <c r="B1581" t="s">
        <v>84</v>
      </c>
      <c r="C1581" s="1">
        <v>44610.659722222219</v>
      </c>
      <c r="D1581" s="1">
        <v>44610.701388888891</v>
      </c>
      <c r="E1581" s="17">
        <f>IF(Tablo2[[#This Row],[Başlangıç]]="","",(IF(Tablo2[[#This Row],[Bitiş]]="",($G$1-Tablo2[[#This Row],[Başlangıç]])*24,(Tablo2[[#This Row],[Bitiş]]-Tablo2[[#This Row],[Başlangıç]])*24)))</f>
        <v>1.0000000001164153</v>
      </c>
    </row>
    <row r="1582" spans="1:5" x14ac:dyDescent="0.3">
      <c r="A1582">
        <v>526</v>
      </c>
      <c r="B1582" t="s">
        <v>179</v>
      </c>
      <c r="C1582" s="1">
        <v>44606.791666666664</v>
      </c>
      <c r="D1582" s="1">
        <v>44606.8125</v>
      </c>
      <c r="E15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83" spans="1:5" x14ac:dyDescent="0.3">
      <c r="A1583">
        <v>526</v>
      </c>
      <c r="B1583" t="s">
        <v>68</v>
      </c>
      <c r="C1583" s="1"/>
      <c r="D1583" s="1"/>
      <c r="E1583" s="17" t="str">
        <f>IF(Tablo2[[#This Row],[Başlangıç]]="","",(IF(Tablo2[[#This Row],[Bitiş]]="",($G$1-Tablo2[[#This Row],[Başlangıç]])*24,(Tablo2[[#This Row],[Bitiş]]-Tablo2[[#This Row],[Başlangıç]])*24)))</f>
        <v/>
      </c>
    </row>
    <row r="1584" spans="1:5" x14ac:dyDescent="0.3">
      <c r="A1584">
        <v>526</v>
      </c>
      <c r="B1584" t="s">
        <v>37</v>
      </c>
      <c r="C1584" s="1">
        <v>44607.243055555555</v>
      </c>
      <c r="D1584" s="1">
        <v>44607.291666666664</v>
      </c>
      <c r="E1584" s="17">
        <f>IF(Tablo2[[#This Row],[Başlangıç]]="","",(IF(Tablo2[[#This Row],[Bitiş]]="",($G$1-Tablo2[[#This Row],[Başlangıç]])*24,(Tablo2[[#This Row],[Bitiş]]-Tablo2[[#This Row],[Başlangıç]])*24)))</f>
        <v>1.1666666666278616</v>
      </c>
    </row>
    <row r="1585" spans="1:5" x14ac:dyDescent="0.3">
      <c r="A1585">
        <v>526</v>
      </c>
      <c r="B1585" t="s">
        <v>65</v>
      </c>
      <c r="C1585" s="1"/>
      <c r="D1585" s="1"/>
      <c r="E1585" s="17" t="str">
        <f>IF(Tablo2[[#This Row],[Başlangıç]]="","",(IF(Tablo2[[#This Row],[Bitiş]]="",($G$1-Tablo2[[#This Row],[Başlangıç]])*24,(Tablo2[[#This Row],[Bitiş]]-Tablo2[[#This Row],[Başlangıç]])*24)))</f>
        <v/>
      </c>
    </row>
    <row r="1586" spans="1:5" x14ac:dyDescent="0.3">
      <c r="A1586">
        <v>527</v>
      </c>
      <c r="B1586" t="s">
        <v>36</v>
      </c>
      <c r="C1586" s="1">
        <v>44607.541666666664</v>
      </c>
      <c r="D1586" s="1">
        <v>44609.333333333336</v>
      </c>
      <c r="E1586" s="17">
        <f>IF(Tablo2[[#This Row],[Başlangıç]]="","",(IF(Tablo2[[#This Row],[Bitiş]]="",($G$1-Tablo2[[#This Row],[Başlangıç]])*24,(Tablo2[[#This Row],[Bitiş]]-Tablo2[[#This Row],[Başlangıç]])*24)))</f>
        <v>43.000000000116415</v>
      </c>
    </row>
    <row r="1587" spans="1:5" x14ac:dyDescent="0.3">
      <c r="A1587">
        <v>527</v>
      </c>
      <c r="B1587" t="s">
        <v>84</v>
      </c>
      <c r="C1587" s="1">
        <v>44610.270833333336</v>
      </c>
      <c r="D1587" s="1">
        <v>44611.708333333336</v>
      </c>
      <c r="E1587" s="17">
        <f>IF(Tablo2[[#This Row],[Başlangıç]]="","",(IF(Tablo2[[#This Row],[Bitiş]]="",($G$1-Tablo2[[#This Row],[Başlangıç]])*24,(Tablo2[[#This Row],[Bitiş]]-Tablo2[[#This Row],[Başlangıç]])*24)))</f>
        <v>34.5</v>
      </c>
    </row>
    <row r="1588" spans="1:5" x14ac:dyDescent="0.3">
      <c r="A1588">
        <v>527</v>
      </c>
      <c r="B1588" t="s">
        <v>179</v>
      </c>
      <c r="C1588" s="1">
        <v>44607.541666666664</v>
      </c>
      <c r="D1588" s="1">
        <v>44607.5625</v>
      </c>
      <c r="E15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89" spans="1:5" x14ac:dyDescent="0.3">
      <c r="A1589">
        <v>527</v>
      </c>
      <c r="B1589" t="s">
        <v>68</v>
      </c>
      <c r="C1589" s="1">
        <v>44611.354166666664</v>
      </c>
      <c r="D1589" s="1">
        <v>44614.261111111111</v>
      </c>
      <c r="E1589" s="17">
        <f>IF(Tablo2[[#This Row],[Başlangıç]]="","",(IF(Tablo2[[#This Row],[Bitiş]]="",($G$1-Tablo2[[#This Row],[Başlangıç]])*24,(Tablo2[[#This Row],[Bitiş]]-Tablo2[[#This Row],[Başlangıç]])*24)))</f>
        <v>69.766666666720994</v>
      </c>
    </row>
    <row r="1590" spans="1:5" x14ac:dyDescent="0.3">
      <c r="A1590">
        <v>527</v>
      </c>
      <c r="B1590" t="s">
        <v>37</v>
      </c>
      <c r="C1590" s="1">
        <v>44606.166666666664</v>
      </c>
      <c r="D1590" s="1">
        <v>44612.309027777781</v>
      </c>
      <c r="E1590" s="17">
        <f>IF(Tablo2[[#This Row],[Başlangıç]]="","",(IF(Tablo2[[#This Row],[Bitiş]]="",($G$1-Tablo2[[#This Row],[Başlangıç]])*24,(Tablo2[[#This Row],[Bitiş]]-Tablo2[[#This Row],[Başlangıç]])*24)))</f>
        <v>147.41666666680248</v>
      </c>
    </row>
    <row r="1591" spans="1:5" x14ac:dyDescent="0.3">
      <c r="A1591">
        <v>527</v>
      </c>
      <c r="B1591" t="s">
        <v>65</v>
      </c>
      <c r="C1591" s="1">
        <v>44609.618055555555</v>
      </c>
      <c r="D1591" s="1">
        <v>44610.277777777781</v>
      </c>
      <c r="E1591" s="17">
        <f>IF(Tablo2[[#This Row],[Başlangıç]]="","",(IF(Tablo2[[#This Row],[Bitiş]]="",($G$1-Tablo2[[#This Row],[Başlangıç]])*24,(Tablo2[[#This Row],[Bitiş]]-Tablo2[[#This Row],[Başlangıç]])*24)))</f>
        <v>15.833333333430346</v>
      </c>
    </row>
    <row r="1592" spans="1:5" x14ac:dyDescent="0.3">
      <c r="A1592">
        <v>528</v>
      </c>
      <c r="B1592" t="s">
        <v>36</v>
      </c>
      <c r="C1592" s="1">
        <v>44608.5</v>
      </c>
      <c r="D1592" s="1">
        <v>44610.458333333336</v>
      </c>
      <c r="E1592" s="17">
        <f>IF(Tablo2[[#This Row],[Başlangıç]]="","",(IF(Tablo2[[#This Row],[Bitiş]]="",($G$1-Tablo2[[#This Row],[Başlangıç]])*24,(Tablo2[[#This Row],[Bitiş]]-Tablo2[[#This Row],[Başlangıç]])*24)))</f>
        <v>47.000000000058208</v>
      </c>
    </row>
    <row r="1593" spans="1:5" x14ac:dyDescent="0.3">
      <c r="A1593">
        <v>528</v>
      </c>
      <c r="B1593" t="s">
        <v>84</v>
      </c>
      <c r="C1593" s="1">
        <v>44610.659722222219</v>
      </c>
      <c r="D1593" s="1">
        <v>44611.986111111109</v>
      </c>
      <c r="E1593" s="17">
        <f>IF(Tablo2[[#This Row],[Başlangıç]]="","",(IF(Tablo2[[#This Row],[Bitiş]]="",($G$1-Tablo2[[#This Row],[Başlangıç]])*24,(Tablo2[[#This Row],[Bitiş]]-Tablo2[[#This Row],[Başlangıç]])*24)))</f>
        <v>31.833333333372138</v>
      </c>
    </row>
    <row r="1594" spans="1:5" x14ac:dyDescent="0.3">
      <c r="A1594">
        <v>528</v>
      </c>
      <c r="B1594" t="s">
        <v>179</v>
      </c>
      <c r="C1594" s="1">
        <v>44608.5</v>
      </c>
      <c r="D1594" s="1">
        <v>44608.520833333336</v>
      </c>
      <c r="E159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595" spans="1:5" x14ac:dyDescent="0.3">
      <c r="A1595">
        <v>528</v>
      </c>
      <c r="B1595" t="s">
        <v>68</v>
      </c>
      <c r="C1595" s="1">
        <v>44612.347222222219</v>
      </c>
      <c r="D1595" s="1">
        <v>44617.958333333336</v>
      </c>
      <c r="E1595" s="17">
        <f>IF(Tablo2[[#This Row],[Başlangıç]]="","",(IF(Tablo2[[#This Row],[Bitiş]]="",($G$1-Tablo2[[#This Row],[Başlangıç]])*24,(Tablo2[[#This Row],[Bitiş]]-Tablo2[[#This Row],[Başlangıç]])*24)))</f>
        <v>134.66666666680248</v>
      </c>
    </row>
    <row r="1596" spans="1:5" x14ac:dyDescent="0.3">
      <c r="A1596">
        <v>528</v>
      </c>
      <c r="B1596" t="s">
        <v>37</v>
      </c>
      <c r="C1596" s="1">
        <v>44610.104166666664</v>
      </c>
      <c r="D1596" s="1">
        <v>44616.770833333336</v>
      </c>
      <c r="E1596" s="17">
        <f>IF(Tablo2[[#This Row],[Başlangıç]]="","",(IF(Tablo2[[#This Row],[Bitiş]]="",($G$1-Tablo2[[#This Row],[Başlangıç]])*24,(Tablo2[[#This Row],[Bitiş]]-Tablo2[[#This Row],[Başlangıç]])*24)))</f>
        <v>160.00000000011642</v>
      </c>
    </row>
    <row r="1597" spans="1:5" x14ac:dyDescent="0.3">
      <c r="A1597">
        <v>528</v>
      </c>
      <c r="B1597" t="s">
        <v>65</v>
      </c>
      <c r="C1597" s="1">
        <v>44610.673611111109</v>
      </c>
      <c r="D1597" s="1">
        <v>44611.493055555555</v>
      </c>
      <c r="E1597" s="17">
        <f>IF(Tablo2[[#This Row],[Başlangıç]]="","",(IF(Tablo2[[#This Row],[Bitiş]]="",($G$1-Tablo2[[#This Row],[Başlangıç]])*24,(Tablo2[[#This Row],[Bitiş]]-Tablo2[[#This Row],[Başlangıç]])*24)))</f>
        <v>19.666666666686069</v>
      </c>
    </row>
    <row r="1598" spans="1:5" x14ac:dyDescent="0.3">
      <c r="A1598">
        <v>529</v>
      </c>
      <c r="B1598" t="s">
        <v>36</v>
      </c>
      <c r="C1598" s="1">
        <v>44608.5</v>
      </c>
      <c r="D1598" s="1">
        <v>44609.333333333336</v>
      </c>
      <c r="E1598" s="17">
        <f>IF(Tablo2[[#This Row],[Başlangıç]]="","",(IF(Tablo2[[#This Row],[Bitiş]]="",($G$1-Tablo2[[#This Row],[Başlangıç]])*24,(Tablo2[[#This Row],[Bitiş]]-Tablo2[[#This Row],[Başlangıç]])*24)))</f>
        <v>20.000000000058208</v>
      </c>
    </row>
    <row r="1599" spans="1:5" x14ac:dyDescent="0.3">
      <c r="A1599">
        <v>529</v>
      </c>
      <c r="B1599" t="s">
        <v>84</v>
      </c>
      <c r="C1599" s="1">
        <v>44610.659722222219</v>
      </c>
      <c r="D1599" s="1">
        <v>44617.5625</v>
      </c>
      <c r="E1599" s="17">
        <f>IF(Tablo2[[#This Row],[Başlangıç]]="","",(IF(Tablo2[[#This Row],[Bitiş]]="",($G$1-Tablo2[[#This Row],[Başlangıç]])*24,(Tablo2[[#This Row],[Bitiş]]-Tablo2[[#This Row],[Başlangıç]])*24)))</f>
        <v>165.66666666674428</v>
      </c>
    </row>
    <row r="1600" spans="1:5" x14ac:dyDescent="0.3">
      <c r="A1600">
        <v>529</v>
      </c>
      <c r="B1600" t="s">
        <v>179</v>
      </c>
      <c r="C1600" s="1">
        <v>44608.5</v>
      </c>
      <c r="D1600" s="1">
        <v>44608.520833333336</v>
      </c>
      <c r="E160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01" spans="1:5" x14ac:dyDescent="0.3">
      <c r="A1601">
        <v>529</v>
      </c>
      <c r="B1601" t="s">
        <v>68</v>
      </c>
      <c r="C1601" s="1">
        <v>44611.677083333336</v>
      </c>
      <c r="D1601" s="1">
        <v>44617.840277777781</v>
      </c>
      <c r="E1601" s="17">
        <f>IF(Tablo2[[#This Row],[Başlangıç]]="","",(IF(Tablo2[[#This Row],[Bitiş]]="",($G$1-Tablo2[[#This Row],[Başlangıç]])*24,(Tablo2[[#This Row],[Bitiş]]-Tablo2[[#This Row],[Başlangıç]])*24)))</f>
        <v>147.91666666668607</v>
      </c>
    </row>
    <row r="1602" spans="1:5" x14ac:dyDescent="0.3">
      <c r="A1602">
        <v>529</v>
      </c>
      <c r="B1602" t="s">
        <v>37</v>
      </c>
      <c r="C1602" s="1">
        <v>44609.666666666664</v>
      </c>
      <c r="D1602" s="1">
        <v>44616.813194444447</v>
      </c>
      <c r="E1602" s="17">
        <f>IF(Tablo2[[#This Row],[Başlangıç]]="","",(IF(Tablo2[[#This Row],[Bitiş]]="",($G$1-Tablo2[[#This Row],[Başlangıç]])*24,(Tablo2[[#This Row],[Bitiş]]-Tablo2[[#This Row],[Başlangıç]])*24)))</f>
        <v>171.5166666667792</v>
      </c>
    </row>
    <row r="1603" spans="1:5" x14ac:dyDescent="0.3">
      <c r="A1603">
        <v>529</v>
      </c>
      <c r="B1603" t="s">
        <v>65</v>
      </c>
      <c r="C1603" s="1">
        <v>44610.291666666664</v>
      </c>
      <c r="D1603" s="1">
        <v>44611.041666666664</v>
      </c>
      <c r="E1603" s="17">
        <f>IF(Tablo2[[#This Row],[Başlangıç]]="","",(IF(Tablo2[[#This Row],[Bitiş]]="",($G$1-Tablo2[[#This Row],[Başlangıç]])*24,(Tablo2[[#This Row],[Bitiş]]-Tablo2[[#This Row],[Başlangıç]])*24)))</f>
        <v>18</v>
      </c>
    </row>
    <row r="1604" spans="1:5" x14ac:dyDescent="0.3">
      <c r="A1604">
        <v>530</v>
      </c>
      <c r="B1604" t="s">
        <v>36</v>
      </c>
      <c r="C1604" s="1">
        <v>44608.458333333336</v>
      </c>
      <c r="D1604" s="1">
        <v>44609.819444444445</v>
      </c>
      <c r="E1604" s="17">
        <f>IF(Tablo2[[#This Row],[Başlangıç]]="","",(IF(Tablo2[[#This Row],[Bitiş]]="",($G$1-Tablo2[[#This Row],[Başlangıç]])*24,(Tablo2[[#This Row],[Bitiş]]-Tablo2[[#This Row],[Başlangıç]])*24)))</f>
        <v>32.666666666627862</v>
      </c>
    </row>
    <row r="1605" spans="1:5" x14ac:dyDescent="0.3">
      <c r="A1605">
        <v>530</v>
      </c>
      <c r="B1605" t="s">
        <v>84</v>
      </c>
      <c r="C1605" s="1">
        <v>44610.659722222219</v>
      </c>
      <c r="D1605" s="1">
        <v>44620.625</v>
      </c>
      <c r="E1605" s="17">
        <f>IF(Tablo2[[#This Row],[Başlangıç]]="","",(IF(Tablo2[[#This Row],[Bitiş]]="",($G$1-Tablo2[[#This Row],[Başlangıç]])*24,(Tablo2[[#This Row],[Bitiş]]-Tablo2[[#This Row],[Başlangıç]])*24)))</f>
        <v>239.16666666674428</v>
      </c>
    </row>
    <row r="1606" spans="1:5" x14ac:dyDescent="0.3">
      <c r="A1606">
        <v>530</v>
      </c>
      <c r="B1606" t="s">
        <v>179</v>
      </c>
      <c r="C1606" s="1">
        <v>44608.458333333336</v>
      </c>
      <c r="D1606" s="1">
        <v>44608.479166666664</v>
      </c>
      <c r="E160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07" spans="1:5" x14ac:dyDescent="0.3">
      <c r="A1607">
        <v>530</v>
      </c>
      <c r="B1607" t="s">
        <v>68</v>
      </c>
      <c r="C1607" s="1">
        <v>44619.020833333336</v>
      </c>
      <c r="D1607" s="1">
        <v>44620.701388888891</v>
      </c>
      <c r="E1607" s="17">
        <f>IF(Tablo2[[#This Row],[Başlangıç]]="","",(IF(Tablo2[[#This Row],[Bitiş]]="",($G$1-Tablo2[[#This Row],[Başlangıç]])*24,(Tablo2[[#This Row],[Bitiş]]-Tablo2[[#This Row],[Başlangıç]])*24)))</f>
        <v>40.333333333313931</v>
      </c>
    </row>
    <row r="1608" spans="1:5" x14ac:dyDescent="0.3">
      <c r="A1608">
        <v>530</v>
      </c>
      <c r="B1608" t="s">
        <v>37</v>
      </c>
      <c r="C1608" s="1">
        <v>44608.479166666664</v>
      </c>
      <c r="D1608" s="1">
        <v>44618.375</v>
      </c>
      <c r="E1608" s="17">
        <f>IF(Tablo2[[#This Row],[Başlangıç]]="","",(IF(Tablo2[[#This Row],[Bitiş]]="",($G$1-Tablo2[[#This Row],[Başlangıç]])*24,(Tablo2[[#This Row],[Bitiş]]-Tablo2[[#This Row],[Başlangıç]])*24)))</f>
        <v>237.50000000005821</v>
      </c>
    </row>
    <row r="1609" spans="1:5" x14ac:dyDescent="0.3">
      <c r="A1609">
        <v>530</v>
      </c>
      <c r="B1609" t="s">
        <v>65</v>
      </c>
      <c r="C1609" s="1">
        <v>44612.844444444447</v>
      </c>
      <c r="D1609" s="1">
        <v>44618.454861111109</v>
      </c>
      <c r="E1609" s="17">
        <f>IF(Tablo2[[#This Row],[Başlangıç]]="","",(IF(Tablo2[[#This Row],[Bitiş]]="",($G$1-Tablo2[[#This Row],[Başlangıç]])*24,(Tablo2[[#This Row],[Bitiş]]-Tablo2[[#This Row],[Başlangıç]])*24)))</f>
        <v>134.64999999990687</v>
      </c>
    </row>
    <row r="1610" spans="1:5" x14ac:dyDescent="0.3">
      <c r="A1610">
        <v>531</v>
      </c>
      <c r="B1610" t="s">
        <v>36</v>
      </c>
      <c r="C1610" s="1">
        <v>44609.333333333336</v>
      </c>
      <c r="D1610" s="1">
        <v>44610.4375</v>
      </c>
      <c r="E1610" s="17">
        <f>IF(Tablo2[[#This Row],[Başlangıç]]="","",(IF(Tablo2[[#This Row],[Bitiş]]="",($G$1-Tablo2[[#This Row],[Başlangıç]])*24,(Tablo2[[#This Row],[Bitiş]]-Tablo2[[#This Row],[Başlangıç]])*24)))</f>
        <v>26.499999999941792</v>
      </c>
    </row>
    <row r="1611" spans="1:5" x14ac:dyDescent="0.3">
      <c r="A1611">
        <v>531</v>
      </c>
      <c r="B1611" t="s">
        <v>84</v>
      </c>
      <c r="C1611" s="1">
        <v>44610.659722222219</v>
      </c>
      <c r="D1611" s="1">
        <v>44613.072916666664</v>
      </c>
      <c r="E1611" s="17">
        <f>IF(Tablo2[[#This Row],[Başlangıç]]="","",(IF(Tablo2[[#This Row],[Bitiş]]="",($G$1-Tablo2[[#This Row],[Başlangıç]])*24,(Tablo2[[#This Row],[Bitiş]]-Tablo2[[#This Row],[Başlangıç]])*24)))</f>
        <v>57.916666666686069</v>
      </c>
    </row>
    <row r="1612" spans="1:5" x14ac:dyDescent="0.3">
      <c r="A1612">
        <v>531</v>
      </c>
      <c r="B1612" t="s">
        <v>179</v>
      </c>
      <c r="C1612" s="1">
        <v>44609.333333333336</v>
      </c>
      <c r="D1612" s="1">
        <v>44609.354166666664</v>
      </c>
      <c r="E161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13" spans="1:5" x14ac:dyDescent="0.3">
      <c r="A1613">
        <v>531</v>
      </c>
      <c r="B1613" t="s">
        <v>68</v>
      </c>
      <c r="C1613" s="1">
        <v>44612.875</v>
      </c>
      <c r="D1613" s="1">
        <v>44615.319444444445</v>
      </c>
      <c r="E1613" s="17">
        <f>IF(Tablo2[[#This Row],[Başlangıç]]="","",(IF(Tablo2[[#This Row],[Bitiş]]="",($G$1-Tablo2[[#This Row],[Başlangıç]])*24,(Tablo2[[#This Row],[Bitiş]]-Tablo2[[#This Row],[Başlangıç]])*24)))</f>
        <v>58.666666666686069</v>
      </c>
    </row>
    <row r="1614" spans="1:5" x14ac:dyDescent="0.3">
      <c r="A1614">
        <v>531</v>
      </c>
      <c r="B1614" t="s">
        <v>37</v>
      </c>
      <c r="C1614" s="1">
        <v>44609.520833333336</v>
      </c>
      <c r="D1614" s="1">
        <v>44615</v>
      </c>
      <c r="E1614" s="17">
        <f>IF(Tablo2[[#This Row],[Başlangıç]]="","",(IF(Tablo2[[#This Row],[Bitiş]]="",($G$1-Tablo2[[#This Row],[Başlangıç]])*24,(Tablo2[[#This Row],[Bitiş]]-Tablo2[[#This Row],[Başlangıç]])*24)))</f>
        <v>131.49999999994179</v>
      </c>
    </row>
    <row r="1615" spans="1:5" x14ac:dyDescent="0.3">
      <c r="A1615">
        <v>531</v>
      </c>
      <c r="B1615" t="s">
        <v>65</v>
      </c>
      <c r="C1615" s="1">
        <v>44611.375</v>
      </c>
      <c r="D1615" s="1">
        <v>44612.541666666664</v>
      </c>
      <c r="E1615" s="17">
        <f>IF(Tablo2[[#This Row],[Başlangıç]]="","",(IF(Tablo2[[#This Row],[Bitiş]]="",($G$1-Tablo2[[#This Row],[Başlangıç]])*24,(Tablo2[[#This Row],[Bitiş]]-Tablo2[[#This Row],[Başlangıç]])*24)))</f>
        <v>27.999999999941792</v>
      </c>
    </row>
    <row r="1616" spans="1:5" x14ac:dyDescent="0.3">
      <c r="A1616">
        <v>532</v>
      </c>
      <c r="B1616" t="s">
        <v>36</v>
      </c>
      <c r="C1616" s="1">
        <v>44609.333333333336</v>
      </c>
      <c r="D1616" s="1">
        <v>44610.989583333336</v>
      </c>
      <c r="E1616" s="17">
        <f>IF(Tablo2[[#This Row],[Başlangıç]]="","",(IF(Tablo2[[#This Row],[Bitiş]]="",($G$1-Tablo2[[#This Row],[Başlangıç]])*24,(Tablo2[[#This Row],[Bitiş]]-Tablo2[[#This Row],[Başlangıç]])*24)))</f>
        <v>39.75</v>
      </c>
    </row>
    <row r="1617" spans="1:5" x14ac:dyDescent="0.3">
      <c r="A1617">
        <v>532</v>
      </c>
      <c r="B1617" t="s">
        <v>84</v>
      </c>
      <c r="C1617" s="1">
        <v>44610.659722222219</v>
      </c>
      <c r="D1617" s="1">
        <v>44622.059027777781</v>
      </c>
      <c r="E1617" s="17">
        <f>IF(Tablo2[[#This Row],[Başlangıç]]="","",(IF(Tablo2[[#This Row],[Bitiş]]="",($G$1-Tablo2[[#This Row],[Başlangıç]])*24,(Tablo2[[#This Row],[Bitiş]]-Tablo2[[#This Row],[Başlangıç]])*24)))</f>
        <v>273.58333333348855</v>
      </c>
    </row>
    <row r="1618" spans="1:5" x14ac:dyDescent="0.3">
      <c r="A1618">
        <v>532</v>
      </c>
      <c r="B1618" t="s">
        <v>179</v>
      </c>
      <c r="C1618" s="1">
        <v>44609.333333333336</v>
      </c>
      <c r="D1618" s="1">
        <v>44609.354166666664</v>
      </c>
      <c r="E161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19" spans="1:5" x14ac:dyDescent="0.3">
      <c r="A1619">
        <v>532</v>
      </c>
      <c r="B1619" t="s">
        <v>68</v>
      </c>
      <c r="C1619" s="1">
        <v>44619.809027777781</v>
      </c>
      <c r="D1619" s="1">
        <v>44622.125</v>
      </c>
      <c r="E1619" s="17">
        <f>IF(Tablo2[[#This Row],[Başlangıç]]="","",(IF(Tablo2[[#This Row],[Bitiş]]="",($G$1-Tablo2[[#This Row],[Başlangıç]])*24,(Tablo2[[#This Row],[Bitiş]]-Tablo2[[#This Row],[Başlangıç]])*24)))</f>
        <v>55.583333333255723</v>
      </c>
    </row>
    <row r="1620" spans="1:5" x14ac:dyDescent="0.3">
      <c r="A1620">
        <v>532</v>
      </c>
      <c r="B1620" t="s">
        <v>37</v>
      </c>
      <c r="C1620" s="1">
        <v>44609.357638888891</v>
      </c>
      <c r="D1620" s="1">
        <v>44622.072916666664</v>
      </c>
      <c r="E1620" s="17">
        <f>IF(Tablo2[[#This Row],[Başlangıç]]="","",(IF(Tablo2[[#This Row],[Bitiş]]="",($G$1-Tablo2[[#This Row],[Başlangıç]])*24,(Tablo2[[#This Row],[Bitiş]]-Tablo2[[#This Row],[Başlangıç]])*24)))</f>
        <v>305.16666666656965</v>
      </c>
    </row>
    <row r="1621" spans="1:5" x14ac:dyDescent="0.3">
      <c r="A1621">
        <v>532</v>
      </c>
      <c r="B1621" t="s">
        <v>65</v>
      </c>
      <c r="C1621" s="1">
        <v>44617.458333333336</v>
      </c>
      <c r="D1621" s="1">
        <v>44622.091666666667</v>
      </c>
      <c r="E1621" s="17">
        <f>IF(Tablo2[[#This Row],[Başlangıç]]="","",(IF(Tablo2[[#This Row],[Bitiş]]="",($G$1-Tablo2[[#This Row],[Başlangıç]])*24,(Tablo2[[#This Row],[Bitiş]]-Tablo2[[#This Row],[Başlangıç]])*24)))</f>
        <v>111.19999999995343</v>
      </c>
    </row>
    <row r="1622" spans="1:5" x14ac:dyDescent="0.3">
      <c r="A1622">
        <v>533</v>
      </c>
      <c r="B1622" t="s">
        <v>36</v>
      </c>
      <c r="C1622" s="1">
        <v>44609.333333333336</v>
      </c>
      <c r="D1622" s="1">
        <v>44611.326388888891</v>
      </c>
      <c r="E1622" s="17">
        <f>IF(Tablo2[[#This Row],[Başlangıç]]="","",(IF(Tablo2[[#This Row],[Bitiş]]="",($G$1-Tablo2[[#This Row],[Başlangıç]])*24,(Tablo2[[#This Row],[Bitiş]]-Tablo2[[#This Row],[Başlangıç]])*24)))</f>
        <v>47.833333333313931</v>
      </c>
    </row>
    <row r="1623" spans="1:5" x14ac:dyDescent="0.3">
      <c r="A1623">
        <v>533</v>
      </c>
      <c r="B1623" t="s">
        <v>84</v>
      </c>
      <c r="C1623" s="1">
        <v>44610.659722222219</v>
      </c>
      <c r="D1623" s="1">
        <v>44618.708333333336</v>
      </c>
      <c r="E1623" s="17">
        <f>IF(Tablo2[[#This Row],[Başlangıç]]="","",(IF(Tablo2[[#This Row],[Bitiş]]="",($G$1-Tablo2[[#This Row],[Başlangıç]])*24,(Tablo2[[#This Row],[Bitiş]]-Tablo2[[#This Row],[Başlangıç]])*24)))</f>
        <v>193.16666666680248</v>
      </c>
    </row>
    <row r="1624" spans="1:5" x14ac:dyDescent="0.3">
      <c r="A1624">
        <v>533</v>
      </c>
      <c r="B1624" t="s">
        <v>179</v>
      </c>
      <c r="C1624" s="1">
        <v>44609.333333333336</v>
      </c>
      <c r="D1624" s="1">
        <v>44609.354166666664</v>
      </c>
      <c r="E162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25" spans="1:5" x14ac:dyDescent="0.3">
      <c r="A1625">
        <v>533</v>
      </c>
      <c r="B1625" t="s">
        <v>68</v>
      </c>
      <c r="C1625" s="1">
        <v>44618.6875</v>
      </c>
      <c r="D1625" s="1">
        <v>44620.458333333336</v>
      </c>
      <c r="E1625" s="17">
        <f>IF(Tablo2[[#This Row],[Başlangıç]]="","",(IF(Tablo2[[#This Row],[Bitiş]]="",($G$1-Tablo2[[#This Row],[Başlangıç]])*24,(Tablo2[[#This Row],[Bitiş]]-Tablo2[[#This Row],[Başlangıç]])*24)))</f>
        <v>42.500000000058208</v>
      </c>
    </row>
    <row r="1626" spans="1:5" x14ac:dyDescent="0.3">
      <c r="A1626">
        <v>533</v>
      </c>
      <c r="B1626" t="s">
        <v>37</v>
      </c>
      <c r="C1626" s="1">
        <v>44609.8125</v>
      </c>
      <c r="D1626" s="1">
        <v>44619.625</v>
      </c>
      <c r="E1626" s="17">
        <f>IF(Tablo2[[#This Row],[Başlangıç]]="","",(IF(Tablo2[[#This Row],[Bitiş]]="",($G$1-Tablo2[[#This Row],[Başlangıç]])*24,(Tablo2[[#This Row],[Bitiş]]-Tablo2[[#This Row],[Başlangıç]])*24)))</f>
        <v>235.5</v>
      </c>
    </row>
    <row r="1627" spans="1:5" x14ac:dyDescent="0.3">
      <c r="A1627">
        <v>533</v>
      </c>
      <c r="B1627" t="s">
        <v>65</v>
      </c>
      <c r="C1627" s="1">
        <v>44612.010416666664</v>
      </c>
      <c r="D1627" s="1">
        <v>44619.583333333336</v>
      </c>
      <c r="E1627" s="17">
        <f>IF(Tablo2[[#This Row],[Başlangıç]]="","",(IF(Tablo2[[#This Row],[Bitiş]]="",($G$1-Tablo2[[#This Row],[Başlangıç]])*24,(Tablo2[[#This Row],[Bitiş]]-Tablo2[[#This Row],[Başlangıç]])*24)))</f>
        <v>181.75000000011642</v>
      </c>
    </row>
    <row r="1628" spans="1:5" x14ac:dyDescent="0.3">
      <c r="A1628">
        <v>534</v>
      </c>
      <c r="B1628" t="s">
        <v>36</v>
      </c>
      <c r="C1628" s="1">
        <v>44610.180555555555</v>
      </c>
      <c r="D1628" s="1">
        <v>44612.041666666664</v>
      </c>
      <c r="E1628" s="17">
        <f>IF(Tablo2[[#This Row],[Başlangıç]]="","",(IF(Tablo2[[#This Row],[Bitiş]]="",($G$1-Tablo2[[#This Row],[Başlangıç]])*24,(Tablo2[[#This Row],[Bitiş]]-Tablo2[[#This Row],[Başlangıç]])*24)))</f>
        <v>44.666666666627862</v>
      </c>
    </row>
    <row r="1629" spans="1:5" x14ac:dyDescent="0.3">
      <c r="A1629">
        <v>534</v>
      </c>
      <c r="B1629" t="s">
        <v>84</v>
      </c>
      <c r="C1629" s="1">
        <v>44610.659722222219</v>
      </c>
      <c r="D1629" s="1">
        <v>44618.5</v>
      </c>
      <c r="E1629" s="17">
        <f>IF(Tablo2[[#This Row],[Başlangıç]]="","",(IF(Tablo2[[#This Row],[Bitiş]]="",($G$1-Tablo2[[#This Row],[Başlangıç]])*24,(Tablo2[[#This Row],[Bitiş]]-Tablo2[[#This Row],[Başlangıç]])*24)))</f>
        <v>188.16666666674428</v>
      </c>
    </row>
    <row r="1630" spans="1:5" x14ac:dyDescent="0.3">
      <c r="A1630">
        <v>534</v>
      </c>
      <c r="B1630" t="s">
        <v>179</v>
      </c>
      <c r="C1630" s="1">
        <v>44610.180555555555</v>
      </c>
      <c r="D1630" s="1">
        <v>44610.201388888891</v>
      </c>
      <c r="E163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31" spans="1:5" x14ac:dyDescent="0.3">
      <c r="A1631">
        <v>534</v>
      </c>
      <c r="B1631" t="s">
        <v>68</v>
      </c>
      <c r="C1631" s="1">
        <v>44617.520833333336</v>
      </c>
      <c r="D1631" s="1">
        <v>44619.416666666664</v>
      </c>
      <c r="E1631" s="17">
        <f>IF(Tablo2[[#This Row],[Başlangıç]]="","",(IF(Tablo2[[#This Row],[Bitiş]]="",($G$1-Tablo2[[#This Row],[Başlangıç]])*24,(Tablo2[[#This Row],[Bitiş]]-Tablo2[[#This Row],[Başlangıç]])*24)))</f>
        <v>45.499999999883585</v>
      </c>
    </row>
    <row r="1632" spans="1:5" x14ac:dyDescent="0.3">
      <c r="A1632">
        <v>534</v>
      </c>
      <c r="B1632" t="s">
        <v>37</v>
      </c>
      <c r="C1632" s="1">
        <v>44610.34375</v>
      </c>
      <c r="D1632" s="1">
        <v>44617.770138888889</v>
      </c>
      <c r="E1632" s="17">
        <f>IF(Tablo2[[#This Row],[Başlangıç]]="","",(IF(Tablo2[[#This Row],[Bitiş]]="",($G$1-Tablo2[[#This Row],[Başlangıç]])*24,(Tablo2[[#This Row],[Bitiş]]-Tablo2[[#This Row],[Başlangıç]])*24)))</f>
        <v>178.23333333333721</v>
      </c>
    </row>
    <row r="1633" spans="1:5" x14ac:dyDescent="0.3">
      <c r="A1633">
        <v>534</v>
      </c>
      <c r="B1633" t="s">
        <v>65</v>
      </c>
      <c r="C1633" s="1">
        <v>44614.149305555555</v>
      </c>
      <c r="D1633" s="1">
        <v>44616.8125</v>
      </c>
      <c r="E1633" s="17">
        <f>IF(Tablo2[[#This Row],[Başlangıç]]="","",(IF(Tablo2[[#This Row],[Bitiş]]="",($G$1-Tablo2[[#This Row],[Başlangıç]])*24,(Tablo2[[#This Row],[Bitiş]]-Tablo2[[#This Row],[Başlangıç]])*24)))</f>
        <v>63.916666666686069</v>
      </c>
    </row>
    <row r="1634" spans="1:5" x14ac:dyDescent="0.3">
      <c r="A1634">
        <v>535</v>
      </c>
      <c r="B1634" t="s">
        <v>36</v>
      </c>
      <c r="C1634" s="1">
        <v>44610.84375</v>
      </c>
      <c r="D1634" s="1">
        <v>44612.157638888886</v>
      </c>
      <c r="E1634" s="17">
        <f>IF(Tablo2[[#This Row],[Başlangıç]]="","",(IF(Tablo2[[#This Row],[Bitiş]]="",($G$1-Tablo2[[#This Row],[Başlangıç]])*24,(Tablo2[[#This Row],[Bitiş]]-Tablo2[[#This Row],[Başlangıç]])*24)))</f>
        <v>31.533333333267365</v>
      </c>
    </row>
    <row r="1635" spans="1:5" x14ac:dyDescent="0.3">
      <c r="A1635">
        <v>535</v>
      </c>
      <c r="B1635" t="s">
        <v>84</v>
      </c>
      <c r="C1635" s="1">
        <v>44615.805555555555</v>
      </c>
      <c r="D1635" s="1">
        <v>44620</v>
      </c>
      <c r="E1635" s="17">
        <f>IF(Tablo2[[#This Row],[Başlangıç]]="","",(IF(Tablo2[[#This Row],[Bitiş]]="",($G$1-Tablo2[[#This Row],[Başlangıç]])*24,(Tablo2[[#This Row],[Bitiş]]-Tablo2[[#This Row],[Başlangıç]])*24)))</f>
        <v>100.66666666668607</v>
      </c>
    </row>
    <row r="1636" spans="1:5" x14ac:dyDescent="0.3">
      <c r="A1636">
        <v>535</v>
      </c>
      <c r="B1636" t="s">
        <v>179</v>
      </c>
      <c r="C1636" s="1">
        <v>44610.84375</v>
      </c>
      <c r="D1636" s="1">
        <v>44610.864583333336</v>
      </c>
      <c r="E16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37" spans="1:5" x14ac:dyDescent="0.3">
      <c r="A1637">
        <v>535</v>
      </c>
      <c r="B1637" t="s">
        <v>68</v>
      </c>
      <c r="C1637" s="1">
        <v>44616.083333333336</v>
      </c>
      <c r="D1637" s="1">
        <v>44620.104166666664</v>
      </c>
      <c r="E1637" s="17">
        <f>IF(Tablo2[[#This Row],[Başlangıç]]="","",(IF(Tablo2[[#This Row],[Bitiş]]="",($G$1-Tablo2[[#This Row],[Başlangıç]])*24,(Tablo2[[#This Row],[Bitiş]]-Tablo2[[#This Row],[Başlangıç]])*24)))</f>
        <v>96.499999999883585</v>
      </c>
    </row>
    <row r="1638" spans="1:5" x14ac:dyDescent="0.3">
      <c r="A1638">
        <v>535</v>
      </c>
      <c r="B1638" t="s">
        <v>37</v>
      </c>
      <c r="C1638" s="1">
        <v>44610.810416666667</v>
      </c>
      <c r="D1638" s="1">
        <v>44618.354166666664</v>
      </c>
      <c r="E1638" s="17">
        <f>IF(Tablo2[[#This Row],[Başlangıç]]="","",(IF(Tablo2[[#This Row],[Bitiş]]="",($G$1-Tablo2[[#This Row],[Başlangıç]])*24,(Tablo2[[#This Row],[Bitiş]]-Tablo2[[#This Row],[Başlangıç]])*24)))</f>
        <v>181.04999999993015</v>
      </c>
    </row>
    <row r="1639" spans="1:5" x14ac:dyDescent="0.3">
      <c r="A1639">
        <v>535</v>
      </c>
      <c r="B1639" t="s">
        <v>65</v>
      </c>
      <c r="C1639" s="1">
        <v>44613.409722222219</v>
      </c>
      <c r="D1639" s="1">
        <v>44620.541666666664</v>
      </c>
      <c r="E1639" s="17">
        <f>IF(Tablo2[[#This Row],[Başlangıç]]="","",(IF(Tablo2[[#This Row],[Bitiş]]="",($G$1-Tablo2[[#This Row],[Başlangıç]])*24,(Tablo2[[#This Row],[Bitiş]]-Tablo2[[#This Row],[Başlangıç]])*24)))</f>
        <v>171.16666666668607</v>
      </c>
    </row>
    <row r="1640" spans="1:5" x14ac:dyDescent="0.3">
      <c r="A1640">
        <v>536</v>
      </c>
      <c r="B1640" t="s">
        <v>36</v>
      </c>
      <c r="C1640" s="1">
        <v>44610.583333333336</v>
      </c>
      <c r="D1640" s="1">
        <v>44612.840277777781</v>
      </c>
      <c r="E1640" s="17">
        <f>IF(Tablo2[[#This Row],[Başlangıç]]="","",(IF(Tablo2[[#This Row],[Bitiş]]="",($G$1-Tablo2[[#This Row],[Başlangıç]])*24,(Tablo2[[#This Row],[Bitiş]]-Tablo2[[#This Row],[Başlangıç]])*24)))</f>
        <v>54.166666666686069</v>
      </c>
    </row>
    <row r="1641" spans="1:5" x14ac:dyDescent="0.3">
      <c r="A1641">
        <v>536</v>
      </c>
      <c r="B1641" t="s">
        <v>84</v>
      </c>
      <c r="C1641" s="1">
        <v>44615.34375</v>
      </c>
      <c r="D1641" s="1">
        <v>44616.5</v>
      </c>
      <c r="E1641" s="17">
        <f>IF(Tablo2[[#This Row],[Başlangıç]]="","",(IF(Tablo2[[#This Row],[Bitiş]]="",($G$1-Tablo2[[#This Row],[Başlangıç]])*24,(Tablo2[[#This Row],[Bitiş]]-Tablo2[[#This Row],[Başlangıç]])*24)))</f>
        <v>27.75</v>
      </c>
    </row>
    <row r="1642" spans="1:5" x14ac:dyDescent="0.3">
      <c r="A1642">
        <v>536</v>
      </c>
      <c r="B1642" t="s">
        <v>179</v>
      </c>
      <c r="C1642" s="1">
        <v>44610.583333333336</v>
      </c>
      <c r="D1642" s="1">
        <v>44610.604166666664</v>
      </c>
      <c r="E164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43" spans="1:5" x14ac:dyDescent="0.3">
      <c r="A1643">
        <v>536</v>
      </c>
      <c r="B1643" t="s">
        <v>68</v>
      </c>
      <c r="C1643" s="1">
        <v>44615.527777777781</v>
      </c>
      <c r="D1643" s="1">
        <v>44617.090277777781</v>
      </c>
      <c r="E1643" s="17">
        <f>IF(Tablo2[[#This Row],[Başlangıç]]="","",(IF(Tablo2[[#This Row],[Bitiş]]="",($G$1-Tablo2[[#This Row],[Başlangıç]])*24,(Tablo2[[#This Row],[Bitiş]]-Tablo2[[#This Row],[Başlangıç]])*24)))</f>
        <v>37.5</v>
      </c>
    </row>
    <row r="1644" spans="1:5" x14ac:dyDescent="0.3">
      <c r="A1644">
        <v>536</v>
      </c>
      <c r="B1644" t="s">
        <v>37</v>
      </c>
      <c r="C1644" s="1">
        <v>44613.513888888891</v>
      </c>
      <c r="D1644" s="1">
        <v>44616.523611111108</v>
      </c>
      <c r="E1644" s="17">
        <f>IF(Tablo2[[#This Row],[Başlangıç]]="","",(IF(Tablo2[[#This Row],[Bitiş]]="",($G$1-Tablo2[[#This Row],[Başlangıç]])*24,(Tablo2[[#This Row],[Bitiş]]-Tablo2[[#This Row],[Başlangıç]])*24)))</f>
        <v>72.233333333220799</v>
      </c>
    </row>
    <row r="1645" spans="1:5" x14ac:dyDescent="0.3">
      <c r="A1645">
        <v>536</v>
      </c>
      <c r="B1645" t="s">
        <v>65</v>
      </c>
      <c r="C1645" s="1">
        <v>44614.055555555555</v>
      </c>
      <c r="D1645" s="1">
        <v>44616.847222222219</v>
      </c>
      <c r="E1645" s="17">
        <f>IF(Tablo2[[#This Row],[Başlangıç]]="","",(IF(Tablo2[[#This Row],[Bitiş]]="",($G$1-Tablo2[[#This Row],[Başlangıç]])*24,(Tablo2[[#This Row],[Bitiş]]-Tablo2[[#This Row],[Başlangıç]])*24)))</f>
        <v>66.999999999941792</v>
      </c>
    </row>
    <row r="1646" spans="1:5" x14ac:dyDescent="0.3">
      <c r="A1646">
        <v>537</v>
      </c>
      <c r="B1646" t="s">
        <v>36</v>
      </c>
      <c r="C1646" s="1">
        <v>44611.875</v>
      </c>
      <c r="D1646" s="1">
        <v>44619.416666666664</v>
      </c>
      <c r="E1646" s="17">
        <f>IF(Tablo2[[#This Row],[Başlangıç]]="","",(IF(Tablo2[[#This Row],[Bitiş]]="",($G$1-Tablo2[[#This Row],[Başlangıç]])*24,(Tablo2[[#This Row],[Bitiş]]-Tablo2[[#This Row],[Başlangıç]])*24)))</f>
        <v>180.99999999994179</v>
      </c>
    </row>
    <row r="1647" spans="1:5" x14ac:dyDescent="0.3">
      <c r="A1647">
        <v>537</v>
      </c>
      <c r="B1647" t="s">
        <v>84</v>
      </c>
      <c r="C1647" s="1">
        <v>44617.892361111109</v>
      </c>
      <c r="D1647" s="1">
        <v>44619.416666666664</v>
      </c>
      <c r="E1647" s="17">
        <f>IF(Tablo2[[#This Row],[Başlangıç]]="","",(IF(Tablo2[[#This Row],[Bitiş]]="",($G$1-Tablo2[[#This Row],[Başlangıç]])*24,(Tablo2[[#This Row],[Bitiş]]-Tablo2[[#This Row],[Başlangıç]])*24)))</f>
        <v>36.583333333313931</v>
      </c>
    </row>
    <row r="1648" spans="1:5" x14ac:dyDescent="0.3">
      <c r="A1648">
        <v>537</v>
      </c>
      <c r="B1648" t="s">
        <v>179</v>
      </c>
      <c r="C1648" s="1">
        <v>44611.875</v>
      </c>
      <c r="D1648" s="1">
        <v>44611.895833333336</v>
      </c>
      <c r="E164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49" spans="1:5" x14ac:dyDescent="0.3">
      <c r="A1649">
        <v>537</v>
      </c>
      <c r="B1649" t="s">
        <v>68</v>
      </c>
      <c r="C1649" s="1">
        <v>44618.305555555555</v>
      </c>
      <c r="D1649" s="1">
        <v>44619.378472222219</v>
      </c>
      <c r="E1649" s="17">
        <f>IF(Tablo2[[#This Row],[Başlangıç]]="","",(IF(Tablo2[[#This Row],[Bitiş]]="",($G$1-Tablo2[[#This Row],[Başlangıç]])*24,(Tablo2[[#This Row],[Bitiş]]-Tablo2[[#This Row],[Başlangıç]])*24)))</f>
        <v>25.749999999941792</v>
      </c>
    </row>
    <row r="1650" spans="1:5" x14ac:dyDescent="0.3">
      <c r="A1650">
        <v>537</v>
      </c>
      <c r="B1650" t="s">
        <v>37</v>
      </c>
      <c r="C1650" s="1">
        <v>44611.802083333336</v>
      </c>
      <c r="D1650" s="1">
        <v>44619.416666666664</v>
      </c>
      <c r="E1650" s="17">
        <f>IF(Tablo2[[#This Row],[Başlangıç]]="","",(IF(Tablo2[[#This Row],[Bitiş]]="",($G$1-Tablo2[[#This Row],[Başlangıç]])*24,(Tablo2[[#This Row],[Bitiş]]-Tablo2[[#This Row],[Başlangıç]])*24)))</f>
        <v>182.74999999988358</v>
      </c>
    </row>
    <row r="1651" spans="1:5" x14ac:dyDescent="0.3">
      <c r="A1651">
        <v>537</v>
      </c>
      <c r="B1651" t="s">
        <v>65</v>
      </c>
      <c r="C1651" s="1">
        <v>44615.534722222219</v>
      </c>
      <c r="D1651" s="1">
        <v>44619.416666666664</v>
      </c>
      <c r="E1651" s="17">
        <f>IF(Tablo2[[#This Row],[Başlangıç]]="","",(IF(Tablo2[[#This Row],[Bitiş]]="",($G$1-Tablo2[[#This Row],[Başlangıç]])*24,(Tablo2[[#This Row],[Bitiş]]-Tablo2[[#This Row],[Başlangıç]])*24)))</f>
        <v>93.166666666686069</v>
      </c>
    </row>
    <row r="1652" spans="1:5" x14ac:dyDescent="0.3">
      <c r="A1652">
        <v>538</v>
      </c>
      <c r="B1652" t="s">
        <v>36</v>
      </c>
      <c r="C1652" s="1">
        <v>44612</v>
      </c>
      <c r="D1652" s="1">
        <v>44614.958333333336</v>
      </c>
      <c r="E1652" s="17">
        <f>IF(Tablo2[[#This Row],[Başlangıç]]="","",(IF(Tablo2[[#This Row],[Bitiş]]="",($G$1-Tablo2[[#This Row],[Başlangıç]])*24,(Tablo2[[#This Row],[Bitiş]]-Tablo2[[#This Row],[Başlangıç]])*24)))</f>
        <v>71.000000000058208</v>
      </c>
    </row>
    <row r="1653" spans="1:5" x14ac:dyDescent="0.3">
      <c r="A1653">
        <v>538</v>
      </c>
      <c r="B1653" t="s">
        <v>84</v>
      </c>
      <c r="C1653" s="1">
        <v>44616.541666666664</v>
      </c>
      <c r="D1653" s="1">
        <v>44625</v>
      </c>
      <c r="E1653" s="17">
        <f>IF(Tablo2[[#This Row],[Başlangıç]]="","",(IF(Tablo2[[#This Row],[Bitiş]]="",($G$1-Tablo2[[#This Row],[Başlangıç]])*24,(Tablo2[[#This Row],[Bitiş]]-Tablo2[[#This Row],[Başlangıç]])*24)))</f>
        <v>203.00000000005821</v>
      </c>
    </row>
    <row r="1654" spans="1:5" x14ac:dyDescent="0.3">
      <c r="A1654">
        <v>538</v>
      </c>
      <c r="B1654" t="s">
        <v>179</v>
      </c>
      <c r="C1654" s="1">
        <v>44612</v>
      </c>
      <c r="D1654" s="1">
        <v>44612.020833333336</v>
      </c>
      <c r="E165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55" spans="1:5" x14ac:dyDescent="0.3">
      <c r="A1655">
        <v>538</v>
      </c>
      <c r="B1655" t="s">
        <v>68</v>
      </c>
      <c r="C1655" s="1">
        <v>44617.017361111109</v>
      </c>
      <c r="D1655" s="1">
        <v>44625</v>
      </c>
      <c r="E1655" s="17">
        <f>IF(Tablo2[[#This Row],[Başlangıç]]="","",(IF(Tablo2[[#This Row],[Bitiş]]="",($G$1-Tablo2[[#This Row],[Başlangıç]])*24,(Tablo2[[#This Row],[Bitiş]]-Tablo2[[#This Row],[Başlangıç]])*24)))</f>
        <v>191.58333333337214</v>
      </c>
    </row>
    <row r="1656" spans="1:5" x14ac:dyDescent="0.3">
      <c r="A1656">
        <v>538</v>
      </c>
      <c r="B1656" t="s">
        <v>37</v>
      </c>
      <c r="C1656" s="1">
        <v>44612.2</v>
      </c>
      <c r="D1656" s="1">
        <v>44621.986111111109</v>
      </c>
      <c r="E1656" s="17">
        <f>IF(Tablo2[[#This Row],[Başlangıç]]="","",(IF(Tablo2[[#This Row],[Bitiş]]="",($G$1-Tablo2[[#This Row],[Başlangıç]])*24,(Tablo2[[#This Row],[Bitiş]]-Tablo2[[#This Row],[Başlangıç]])*24)))</f>
        <v>234.86666666669771</v>
      </c>
    </row>
    <row r="1657" spans="1:5" x14ac:dyDescent="0.3">
      <c r="A1657">
        <v>538</v>
      </c>
      <c r="B1657" t="s">
        <v>65</v>
      </c>
      <c r="C1657" s="1">
        <v>44615.354166666664</v>
      </c>
      <c r="D1657" s="1">
        <v>44625</v>
      </c>
      <c r="E1657" s="17">
        <f>IF(Tablo2[[#This Row],[Başlangıç]]="","",(IF(Tablo2[[#This Row],[Bitiş]]="",($G$1-Tablo2[[#This Row],[Başlangıç]])*24,(Tablo2[[#This Row],[Bitiş]]-Tablo2[[#This Row],[Başlangıç]])*24)))</f>
        <v>231.50000000005821</v>
      </c>
    </row>
    <row r="1658" spans="1:5" x14ac:dyDescent="0.3">
      <c r="A1658">
        <v>539</v>
      </c>
      <c r="B1658" t="s">
        <v>36</v>
      </c>
      <c r="C1658" s="1">
        <v>44613</v>
      </c>
      <c r="D1658" s="1">
        <v>44615.295138888891</v>
      </c>
      <c r="E1658" s="17">
        <f>IF(Tablo2[[#This Row],[Başlangıç]]="","",(IF(Tablo2[[#This Row],[Bitiş]]="",($G$1-Tablo2[[#This Row],[Başlangıç]])*24,(Tablo2[[#This Row],[Bitiş]]-Tablo2[[#This Row],[Başlangıç]])*24)))</f>
        <v>55.083333333372138</v>
      </c>
    </row>
    <row r="1659" spans="1:5" x14ac:dyDescent="0.3">
      <c r="A1659">
        <v>539</v>
      </c>
      <c r="B1659" t="s">
        <v>84</v>
      </c>
      <c r="C1659" s="1">
        <v>44645.78125</v>
      </c>
      <c r="D1659" s="1">
        <v>44648</v>
      </c>
      <c r="E1659" s="17">
        <f>IF(Tablo2[[#This Row],[Başlangıç]]="","",(IF(Tablo2[[#This Row],[Bitiş]]="",($G$1-Tablo2[[#This Row],[Başlangıç]])*24,(Tablo2[[#This Row],[Bitiş]]-Tablo2[[#This Row],[Başlangıç]])*24)))</f>
        <v>53.25</v>
      </c>
    </row>
    <row r="1660" spans="1:5" x14ac:dyDescent="0.3">
      <c r="A1660">
        <v>539</v>
      </c>
      <c r="B1660" t="s">
        <v>179</v>
      </c>
      <c r="C1660" s="1">
        <v>44613</v>
      </c>
      <c r="D1660" s="1">
        <v>44613.020833333336</v>
      </c>
      <c r="E166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61" spans="1:5" x14ac:dyDescent="0.3">
      <c r="A1661">
        <v>539</v>
      </c>
      <c r="B1661" t="s">
        <v>68</v>
      </c>
      <c r="C1661" s="1">
        <v>44646.239583333336</v>
      </c>
      <c r="D1661" s="1">
        <v>44648.125</v>
      </c>
      <c r="E1661" s="17">
        <f>IF(Tablo2[[#This Row],[Başlangıç]]="","",(IF(Tablo2[[#This Row],[Bitiş]]="",($G$1-Tablo2[[#This Row],[Başlangıç]])*24,(Tablo2[[#This Row],[Bitiş]]-Tablo2[[#This Row],[Başlangıç]])*24)))</f>
        <v>45.249999999941792</v>
      </c>
    </row>
    <row r="1662" spans="1:5" x14ac:dyDescent="0.3">
      <c r="A1662">
        <v>539</v>
      </c>
      <c r="B1662" t="s">
        <v>37</v>
      </c>
      <c r="C1662" s="1">
        <v>44613.268750000003</v>
      </c>
      <c r="D1662" s="1">
        <v>44648</v>
      </c>
      <c r="E1662" s="17">
        <f>IF(Tablo2[[#This Row],[Başlangıç]]="","",(IF(Tablo2[[#This Row],[Bitiş]]="",($G$1-Tablo2[[#This Row],[Başlangıç]])*24,(Tablo2[[#This Row],[Bitiş]]-Tablo2[[#This Row],[Başlangıç]])*24)))</f>
        <v>833.54999999993015</v>
      </c>
    </row>
    <row r="1663" spans="1:5" x14ac:dyDescent="0.3">
      <c r="A1663">
        <v>539</v>
      </c>
      <c r="B1663" t="s">
        <v>65</v>
      </c>
      <c r="C1663" s="1">
        <v>44645.041666666664</v>
      </c>
      <c r="D1663" s="1">
        <v>44648</v>
      </c>
      <c r="E1663" s="17">
        <f>IF(Tablo2[[#This Row],[Başlangıç]]="","",(IF(Tablo2[[#This Row],[Bitiş]]="",($G$1-Tablo2[[#This Row],[Başlangıç]])*24,(Tablo2[[#This Row],[Bitiş]]-Tablo2[[#This Row],[Başlangıç]])*24)))</f>
        <v>71.000000000058208</v>
      </c>
    </row>
    <row r="1664" spans="1:5" x14ac:dyDescent="0.3">
      <c r="A1664">
        <v>540</v>
      </c>
      <c r="B1664" t="s">
        <v>36</v>
      </c>
      <c r="C1664" s="1">
        <v>44613.833333333336</v>
      </c>
      <c r="D1664" s="1">
        <v>44616.135416666664</v>
      </c>
      <c r="E1664" s="17">
        <f>IF(Tablo2[[#This Row],[Başlangıç]]="","",(IF(Tablo2[[#This Row],[Bitiş]]="",($G$1-Tablo2[[#This Row],[Başlangıç]])*24,(Tablo2[[#This Row],[Bitiş]]-Tablo2[[#This Row],[Başlangıç]])*24)))</f>
        <v>55.249999999883585</v>
      </c>
    </row>
    <row r="1665" spans="1:5" x14ac:dyDescent="0.3">
      <c r="A1665">
        <v>540</v>
      </c>
      <c r="B1665" t="s">
        <v>84</v>
      </c>
      <c r="C1665" s="1">
        <v>44619.1875</v>
      </c>
      <c r="D1665" s="1">
        <v>44625</v>
      </c>
      <c r="E1665" s="17">
        <f>IF(Tablo2[[#This Row],[Başlangıç]]="","",(IF(Tablo2[[#This Row],[Bitiş]]="",($G$1-Tablo2[[#This Row],[Başlangıç]])*24,(Tablo2[[#This Row],[Bitiş]]-Tablo2[[#This Row],[Başlangıç]])*24)))</f>
        <v>139.5</v>
      </c>
    </row>
    <row r="1666" spans="1:5" x14ac:dyDescent="0.3">
      <c r="A1666">
        <v>540</v>
      </c>
      <c r="B1666" t="s">
        <v>179</v>
      </c>
      <c r="C1666" s="1">
        <v>44613.833333333336</v>
      </c>
      <c r="D1666" s="1">
        <v>44613.854166666664</v>
      </c>
      <c r="E166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67" spans="1:5" x14ac:dyDescent="0.3">
      <c r="A1667">
        <v>540</v>
      </c>
      <c r="B1667" t="s">
        <v>68</v>
      </c>
      <c r="C1667" s="1">
        <v>44623.038194444445</v>
      </c>
      <c r="D1667" s="1">
        <v>44625.236111111109</v>
      </c>
      <c r="E1667" s="17">
        <f>IF(Tablo2[[#This Row],[Başlangıç]]="","",(IF(Tablo2[[#This Row],[Bitiş]]="",($G$1-Tablo2[[#This Row],[Başlangıç]])*24,(Tablo2[[#This Row],[Bitiş]]-Tablo2[[#This Row],[Başlangıç]])*24)))</f>
        <v>52.749999999941792</v>
      </c>
    </row>
    <row r="1668" spans="1:5" x14ac:dyDescent="0.3">
      <c r="A1668">
        <v>540</v>
      </c>
      <c r="B1668" t="s">
        <v>37</v>
      </c>
      <c r="C1668" s="1">
        <v>44616.861111111109</v>
      </c>
      <c r="D1668" s="1">
        <v>44625</v>
      </c>
      <c r="E1668" s="17">
        <f>IF(Tablo2[[#This Row],[Başlangıç]]="","",(IF(Tablo2[[#This Row],[Bitiş]]="",($G$1-Tablo2[[#This Row],[Başlangıç]])*24,(Tablo2[[#This Row],[Bitiş]]-Tablo2[[#This Row],[Başlangıç]])*24)))</f>
        <v>195.33333333337214</v>
      </c>
    </row>
    <row r="1669" spans="1:5" x14ac:dyDescent="0.3">
      <c r="A1669">
        <v>540</v>
      </c>
      <c r="B1669" t="s">
        <v>65</v>
      </c>
      <c r="C1669" s="1">
        <v>44617.760416666664</v>
      </c>
      <c r="D1669" s="1">
        <v>44621.458333333336</v>
      </c>
      <c r="E1669" s="17">
        <f>IF(Tablo2[[#This Row],[Başlangıç]]="","",(IF(Tablo2[[#This Row],[Bitiş]]="",($G$1-Tablo2[[#This Row],[Başlangıç]])*24,(Tablo2[[#This Row],[Bitiş]]-Tablo2[[#This Row],[Başlangıç]])*24)))</f>
        <v>88.750000000116415</v>
      </c>
    </row>
    <row r="1670" spans="1:5" x14ac:dyDescent="0.3">
      <c r="A1670">
        <v>541</v>
      </c>
      <c r="B1670" t="s">
        <v>36</v>
      </c>
      <c r="C1670" s="1">
        <v>44614</v>
      </c>
      <c r="D1670" s="1">
        <v>44616.527777777781</v>
      </c>
      <c r="E1670" s="17">
        <f>IF(Tablo2[[#This Row],[Başlangıç]]="","",(IF(Tablo2[[#This Row],[Bitiş]]="",($G$1-Tablo2[[#This Row],[Başlangıç]])*24,(Tablo2[[#This Row],[Bitiş]]-Tablo2[[#This Row],[Başlangıç]])*24)))</f>
        <v>60.666666666744277</v>
      </c>
    </row>
    <row r="1671" spans="1:5" x14ac:dyDescent="0.3">
      <c r="A1671">
        <v>541</v>
      </c>
      <c r="B1671" t="s">
        <v>84</v>
      </c>
      <c r="C1671" s="1">
        <v>44619.552083333336</v>
      </c>
      <c r="D1671" s="1">
        <v>44622.12222222222</v>
      </c>
      <c r="E1671" s="17">
        <f>IF(Tablo2[[#This Row],[Başlangıç]]="","",(IF(Tablo2[[#This Row],[Bitiş]]="",($G$1-Tablo2[[#This Row],[Başlangıç]])*24,(Tablo2[[#This Row],[Bitiş]]-Tablo2[[#This Row],[Başlangıç]])*24)))</f>
        <v>61.68333333323244</v>
      </c>
    </row>
    <row r="1672" spans="1:5" x14ac:dyDescent="0.3">
      <c r="A1672">
        <v>541</v>
      </c>
      <c r="B1672" t="s">
        <v>179</v>
      </c>
      <c r="C1672" s="1">
        <v>44614</v>
      </c>
      <c r="D1672" s="1">
        <v>44614.020833333336</v>
      </c>
      <c r="E16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73" spans="1:5" x14ac:dyDescent="0.3">
      <c r="A1673">
        <v>541</v>
      </c>
      <c r="B1673" t="s">
        <v>68</v>
      </c>
      <c r="C1673" s="1">
        <v>44619.791666666664</v>
      </c>
      <c r="D1673" s="1">
        <v>44622.072916666664</v>
      </c>
      <c r="E1673" s="17">
        <f>IF(Tablo2[[#This Row],[Başlangıç]]="","",(IF(Tablo2[[#This Row],[Bitiş]]="",($G$1-Tablo2[[#This Row],[Başlangıç]])*24,(Tablo2[[#This Row],[Bitiş]]-Tablo2[[#This Row],[Başlangıç]])*24)))</f>
        <v>54.75</v>
      </c>
    </row>
    <row r="1674" spans="1:5" x14ac:dyDescent="0.3">
      <c r="A1674">
        <v>541</v>
      </c>
      <c r="B1674" t="s">
        <v>37</v>
      </c>
      <c r="C1674" s="1">
        <v>44614.190972222219</v>
      </c>
      <c r="D1674" s="1">
        <v>44620.03125</v>
      </c>
      <c r="E1674" s="17">
        <f>IF(Tablo2[[#This Row],[Başlangıç]]="","",(IF(Tablo2[[#This Row],[Bitiş]]="",($G$1-Tablo2[[#This Row],[Başlangıç]])*24,(Tablo2[[#This Row],[Bitiş]]-Tablo2[[#This Row],[Başlangıç]])*24)))</f>
        <v>140.16666666674428</v>
      </c>
    </row>
    <row r="1675" spans="1:5" x14ac:dyDescent="0.3">
      <c r="A1675">
        <v>541</v>
      </c>
      <c r="B1675" t="s">
        <v>65</v>
      </c>
      <c r="C1675" s="1">
        <v>44618.802083333336</v>
      </c>
      <c r="D1675" s="1">
        <v>44621.458333333336</v>
      </c>
      <c r="E1675" s="17">
        <f>IF(Tablo2[[#This Row],[Başlangıç]]="","",(IF(Tablo2[[#This Row],[Bitiş]]="",($G$1-Tablo2[[#This Row],[Başlangıç]])*24,(Tablo2[[#This Row],[Bitiş]]-Tablo2[[#This Row],[Başlangıç]])*24)))</f>
        <v>63.75</v>
      </c>
    </row>
    <row r="1676" spans="1:5" x14ac:dyDescent="0.3">
      <c r="A1676">
        <v>542</v>
      </c>
      <c r="B1676" t="s">
        <v>36</v>
      </c>
      <c r="C1676" s="1">
        <v>44615</v>
      </c>
      <c r="D1676" s="1">
        <v>44615.723611111112</v>
      </c>
      <c r="E1676" s="17">
        <f>IF(Tablo2[[#This Row],[Başlangıç]]="","",(IF(Tablo2[[#This Row],[Bitiş]]="",($G$1-Tablo2[[#This Row],[Başlangıç]])*24,(Tablo2[[#This Row],[Bitiş]]-Tablo2[[#This Row],[Başlangıç]])*24)))</f>
        <v>17.366666666697711</v>
      </c>
    </row>
    <row r="1677" spans="1:5" x14ac:dyDescent="0.3">
      <c r="A1677">
        <v>542</v>
      </c>
      <c r="B1677" t="s">
        <v>84</v>
      </c>
      <c r="C1677" s="1">
        <v>44617.208333333336</v>
      </c>
      <c r="D1677" s="1">
        <v>44620.416666666664</v>
      </c>
      <c r="E1677" s="17">
        <f>IF(Tablo2[[#This Row],[Başlangıç]]="","",(IF(Tablo2[[#This Row],[Bitiş]]="",($G$1-Tablo2[[#This Row],[Başlangıç]])*24,(Tablo2[[#This Row],[Bitiş]]-Tablo2[[#This Row],[Başlangıç]])*24)))</f>
        <v>76.999999999883585</v>
      </c>
    </row>
    <row r="1678" spans="1:5" x14ac:dyDescent="0.3">
      <c r="A1678">
        <v>542</v>
      </c>
      <c r="B1678" t="s">
        <v>179</v>
      </c>
      <c r="C1678" s="1">
        <v>44615</v>
      </c>
      <c r="D1678" s="1">
        <v>44615.020833333336</v>
      </c>
      <c r="E167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79" spans="1:5" x14ac:dyDescent="0.3">
      <c r="A1679">
        <v>542</v>
      </c>
      <c r="B1679" t="s">
        <v>68</v>
      </c>
      <c r="C1679" s="1">
        <v>44617.8125</v>
      </c>
      <c r="D1679" s="1">
        <v>44620.423611111109</v>
      </c>
      <c r="E1679" s="17">
        <f>IF(Tablo2[[#This Row],[Başlangıç]]="","",(IF(Tablo2[[#This Row],[Bitiş]]="",($G$1-Tablo2[[#This Row],[Başlangıç]])*24,(Tablo2[[#This Row],[Bitiş]]-Tablo2[[#This Row],[Başlangıç]])*24)))</f>
        <v>62.666666666627862</v>
      </c>
    </row>
    <row r="1680" spans="1:5" x14ac:dyDescent="0.3">
      <c r="A1680">
        <v>542</v>
      </c>
      <c r="B1680" t="s">
        <v>37</v>
      </c>
      <c r="C1680" s="1">
        <v>44615.931250000001</v>
      </c>
      <c r="D1680" s="1">
        <v>44620.416666666664</v>
      </c>
      <c r="E1680" s="17">
        <f>IF(Tablo2[[#This Row],[Başlangıç]]="","",(IF(Tablo2[[#This Row],[Bitiş]]="",($G$1-Tablo2[[#This Row],[Başlangıç]])*24,(Tablo2[[#This Row],[Bitiş]]-Tablo2[[#This Row],[Başlangıç]])*24)))</f>
        <v>107.64999999990687</v>
      </c>
    </row>
    <row r="1681" spans="1:5" x14ac:dyDescent="0.3">
      <c r="A1681">
        <v>542</v>
      </c>
      <c r="B1681" t="s">
        <v>65</v>
      </c>
      <c r="C1681" s="1">
        <v>44616.703472222223</v>
      </c>
      <c r="D1681" s="1">
        <v>44618.416666666664</v>
      </c>
      <c r="E1681" s="17">
        <f>IF(Tablo2[[#This Row],[Başlangıç]]="","",(IF(Tablo2[[#This Row],[Bitiş]]="",($G$1-Tablo2[[#This Row],[Başlangıç]])*24,(Tablo2[[#This Row],[Bitiş]]-Tablo2[[#This Row],[Başlangıç]])*24)))</f>
        <v>41.116666666581295</v>
      </c>
    </row>
    <row r="1682" spans="1:5" x14ac:dyDescent="0.3">
      <c r="A1682">
        <v>543</v>
      </c>
      <c r="B1682" t="s">
        <v>36</v>
      </c>
      <c r="C1682" s="1">
        <v>44616.402777777781</v>
      </c>
      <c r="D1682" s="1">
        <v>44617.613888888889</v>
      </c>
      <c r="E1682" s="17">
        <f>IF(Tablo2[[#This Row],[Başlangıç]]="","",(IF(Tablo2[[#This Row],[Bitiş]]="",($G$1-Tablo2[[#This Row],[Başlangıç]])*24,(Tablo2[[#This Row],[Bitiş]]-Tablo2[[#This Row],[Başlangıç]])*24)))</f>
        <v>29.066666666592937</v>
      </c>
    </row>
    <row r="1683" spans="1:5" x14ac:dyDescent="0.3">
      <c r="A1683">
        <v>543</v>
      </c>
      <c r="B1683" t="s">
        <v>84</v>
      </c>
      <c r="C1683" s="1">
        <v>44621.760416666664</v>
      </c>
      <c r="D1683" s="1">
        <v>44626</v>
      </c>
      <c r="E1683" s="17">
        <f>IF(Tablo2[[#This Row],[Başlangıç]]="","",(IF(Tablo2[[#This Row],[Bitiş]]="",($G$1-Tablo2[[#This Row],[Başlangıç]])*24,(Tablo2[[#This Row],[Bitiş]]-Tablo2[[#This Row],[Başlangıç]])*24)))</f>
        <v>101.75000000005821</v>
      </c>
    </row>
    <row r="1684" spans="1:5" x14ac:dyDescent="0.3">
      <c r="A1684">
        <v>543</v>
      </c>
      <c r="B1684" t="s">
        <v>179</v>
      </c>
      <c r="C1684" s="1">
        <v>44616.402777777781</v>
      </c>
      <c r="D1684" s="1">
        <v>44616.423611111109</v>
      </c>
      <c r="E168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685" spans="1:5" x14ac:dyDescent="0.3">
      <c r="A1685">
        <v>543</v>
      </c>
      <c r="B1685" t="s">
        <v>68</v>
      </c>
      <c r="C1685" s="1">
        <v>44624.010416666664</v>
      </c>
      <c r="D1685" s="1">
        <v>44626.102777777778</v>
      </c>
      <c r="E1685" s="17">
        <f>IF(Tablo2[[#This Row],[Başlangıç]]="","",(IF(Tablo2[[#This Row],[Bitiş]]="",($G$1-Tablo2[[#This Row],[Başlangıç]])*24,(Tablo2[[#This Row],[Bitiş]]-Tablo2[[#This Row],[Başlangıç]])*24)))</f>
        <v>50.216666666732635</v>
      </c>
    </row>
    <row r="1686" spans="1:5" x14ac:dyDescent="0.3">
      <c r="A1686">
        <v>543</v>
      </c>
      <c r="B1686" t="s">
        <v>37</v>
      </c>
      <c r="C1686" s="1">
        <v>44616.340277777781</v>
      </c>
      <c r="D1686" s="1">
        <v>44625.46875</v>
      </c>
      <c r="E1686" s="17">
        <f>IF(Tablo2[[#This Row],[Başlangıç]]="","",(IF(Tablo2[[#This Row],[Bitiş]]="",($G$1-Tablo2[[#This Row],[Başlangıç]])*24,(Tablo2[[#This Row],[Bitiş]]-Tablo2[[#This Row],[Başlangıç]])*24)))</f>
        <v>219.08333333325572</v>
      </c>
    </row>
    <row r="1687" spans="1:5" x14ac:dyDescent="0.3">
      <c r="A1687">
        <v>543</v>
      </c>
      <c r="B1687" t="s">
        <v>65</v>
      </c>
      <c r="C1687" s="1">
        <v>44620.725694444445</v>
      </c>
      <c r="D1687" s="1">
        <v>44626</v>
      </c>
      <c r="E1687" s="17">
        <f>IF(Tablo2[[#This Row],[Başlangıç]]="","",(IF(Tablo2[[#This Row],[Bitiş]]="",($G$1-Tablo2[[#This Row],[Başlangıç]])*24,(Tablo2[[#This Row],[Bitiş]]-Tablo2[[#This Row],[Başlangıç]])*24)))</f>
        <v>126.58333333331393</v>
      </c>
    </row>
    <row r="1688" spans="1:5" x14ac:dyDescent="0.3">
      <c r="A1688">
        <v>544</v>
      </c>
      <c r="B1688" t="s">
        <v>36</v>
      </c>
      <c r="C1688" s="1">
        <v>44617.541666666664</v>
      </c>
      <c r="D1688" s="1">
        <v>44618.722222222219</v>
      </c>
      <c r="E1688" s="17">
        <f>IF(Tablo2[[#This Row],[Başlangıç]]="","",(IF(Tablo2[[#This Row],[Bitiş]]="",($G$1-Tablo2[[#This Row],[Başlangıç]])*24,(Tablo2[[#This Row],[Bitiş]]-Tablo2[[#This Row],[Başlangıç]])*24)))</f>
        <v>28.333333333313931</v>
      </c>
    </row>
    <row r="1689" spans="1:5" x14ac:dyDescent="0.3">
      <c r="A1689">
        <v>544</v>
      </c>
      <c r="B1689" t="s">
        <v>84</v>
      </c>
      <c r="C1689" s="1">
        <v>44620</v>
      </c>
      <c r="D1689" s="1">
        <v>44622.121527777781</v>
      </c>
      <c r="E1689" s="17">
        <f>IF(Tablo2[[#This Row],[Başlangıç]]="","",(IF(Tablo2[[#This Row],[Bitiş]]="",($G$1-Tablo2[[#This Row],[Başlangıç]])*24,(Tablo2[[#This Row],[Bitiş]]-Tablo2[[#This Row],[Başlangıç]])*24)))</f>
        <v>50.916666666744277</v>
      </c>
    </row>
    <row r="1690" spans="1:5" x14ac:dyDescent="0.3">
      <c r="A1690">
        <v>544</v>
      </c>
      <c r="B1690" t="s">
        <v>179</v>
      </c>
      <c r="C1690" s="1">
        <v>44617.541666666664</v>
      </c>
      <c r="D1690" s="1">
        <v>44617.5625</v>
      </c>
      <c r="E169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91" spans="1:5" x14ac:dyDescent="0.3">
      <c r="A1691">
        <v>544</v>
      </c>
      <c r="B1691" t="s">
        <v>68</v>
      </c>
      <c r="C1691" s="1">
        <v>44621.274305555555</v>
      </c>
      <c r="D1691" s="1">
        <v>44622.604166666664</v>
      </c>
      <c r="E1691" s="17">
        <f>IF(Tablo2[[#This Row],[Başlangıç]]="","",(IF(Tablo2[[#This Row],[Bitiş]]="",($G$1-Tablo2[[#This Row],[Başlangıç]])*24,(Tablo2[[#This Row],[Bitiş]]-Tablo2[[#This Row],[Başlangıç]])*24)))</f>
        <v>31.916666666627862</v>
      </c>
    </row>
    <row r="1692" spans="1:5" x14ac:dyDescent="0.3">
      <c r="A1692">
        <v>544</v>
      </c>
      <c r="B1692" t="s">
        <v>37</v>
      </c>
      <c r="C1692" s="1">
        <v>44618.75</v>
      </c>
      <c r="D1692" s="1">
        <v>44621.131944444445</v>
      </c>
      <c r="E1692" s="17">
        <f>IF(Tablo2[[#This Row],[Başlangıç]]="","",(IF(Tablo2[[#This Row],[Bitiş]]="",($G$1-Tablo2[[#This Row],[Başlangıç]])*24,(Tablo2[[#This Row],[Bitiş]]-Tablo2[[#This Row],[Başlangıç]])*24)))</f>
        <v>57.166666666686069</v>
      </c>
    </row>
    <row r="1693" spans="1:5" x14ac:dyDescent="0.3">
      <c r="A1693">
        <v>544</v>
      </c>
      <c r="B1693" t="s">
        <v>65</v>
      </c>
      <c r="C1693" s="1">
        <v>44619.6875</v>
      </c>
      <c r="D1693" s="1">
        <v>44621.458333333336</v>
      </c>
      <c r="E1693" s="17">
        <f>IF(Tablo2[[#This Row],[Başlangıç]]="","",(IF(Tablo2[[#This Row],[Bitiş]]="",($G$1-Tablo2[[#This Row],[Başlangıç]])*24,(Tablo2[[#This Row],[Bitiş]]-Tablo2[[#This Row],[Başlangıç]])*24)))</f>
        <v>42.500000000058208</v>
      </c>
    </row>
    <row r="1694" spans="1:5" x14ac:dyDescent="0.3">
      <c r="A1694">
        <v>545</v>
      </c>
      <c r="B1694" t="s">
        <v>36</v>
      </c>
      <c r="C1694" s="1">
        <v>44616.25</v>
      </c>
      <c r="D1694" s="1">
        <v>44617.069444444445</v>
      </c>
      <c r="E1694" s="17">
        <f>IF(Tablo2[[#This Row],[Başlangıç]]="","",(IF(Tablo2[[#This Row],[Bitiş]]="",($G$1-Tablo2[[#This Row],[Başlangıç]])*24,(Tablo2[[#This Row],[Bitiş]]-Tablo2[[#This Row],[Başlangıç]])*24)))</f>
        <v>19.666666666686069</v>
      </c>
    </row>
    <row r="1695" spans="1:5" x14ac:dyDescent="0.3">
      <c r="A1695">
        <v>545</v>
      </c>
      <c r="B1695" t="s">
        <v>84</v>
      </c>
      <c r="C1695" s="1">
        <v>44619.895833333336</v>
      </c>
      <c r="D1695" s="1">
        <v>44621.208333333336</v>
      </c>
      <c r="E1695" s="17">
        <f>IF(Tablo2[[#This Row],[Başlangıç]]="","",(IF(Tablo2[[#This Row],[Bitiş]]="",($G$1-Tablo2[[#This Row],[Başlangıç]])*24,(Tablo2[[#This Row],[Bitiş]]-Tablo2[[#This Row],[Başlangıç]])*24)))</f>
        <v>31.5</v>
      </c>
    </row>
    <row r="1696" spans="1:5" x14ac:dyDescent="0.3">
      <c r="A1696">
        <v>545</v>
      </c>
      <c r="B1696" t="s">
        <v>179</v>
      </c>
      <c r="C1696" s="1">
        <v>44616.25</v>
      </c>
      <c r="D1696" s="1">
        <v>44616.270833333336</v>
      </c>
      <c r="E169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697" spans="1:5" x14ac:dyDescent="0.3">
      <c r="A1697">
        <v>545</v>
      </c>
      <c r="B1697" t="s">
        <v>68</v>
      </c>
      <c r="C1697" s="1">
        <v>44620.6875</v>
      </c>
      <c r="D1697" s="1">
        <v>44622.493055555555</v>
      </c>
      <c r="E1697" s="17">
        <f>IF(Tablo2[[#This Row],[Başlangıç]]="","",(IF(Tablo2[[#This Row],[Bitiş]]="",($G$1-Tablo2[[#This Row],[Başlangıç]])*24,(Tablo2[[#This Row],[Bitiş]]-Tablo2[[#This Row],[Başlangıç]])*24)))</f>
        <v>43.333333333313931</v>
      </c>
    </row>
    <row r="1698" spans="1:5" x14ac:dyDescent="0.3">
      <c r="A1698">
        <v>545</v>
      </c>
      <c r="B1698" t="s">
        <v>37</v>
      </c>
      <c r="C1698" s="1">
        <v>44617.256944444445</v>
      </c>
      <c r="D1698" s="1">
        <v>44622.072916666664</v>
      </c>
      <c r="E1698" s="17">
        <f>IF(Tablo2[[#This Row],[Başlangıç]]="","",(IF(Tablo2[[#This Row],[Bitiş]]="",($G$1-Tablo2[[#This Row],[Başlangıç]])*24,(Tablo2[[#This Row],[Bitiş]]-Tablo2[[#This Row],[Başlangıç]])*24)))</f>
        <v>115.58333333325572</v>
      </c>
    </row>
    <row r="1699" spans="1:5" x14ac:dyDescent="0.3">
      <c r="A1699">
        <v>545</v>
      </c>
      <c r="B1699" t="s">
        <v>65</v>
      </c>
      <c r="C1699" s="1">
        <v>44619.166666666664</v>
      </c>
      <c r="D1699" s="1">
        <v>44621.458333333336</v>
      </c>
      <c r="E1699" s="17">
        <f>IF(Tablo2[[#This Row],[Başlangıç]]="","",(IF(Tablo2[[#This Row],[Bitiş]]="",($G$1-Tablo2[[#This Row],[Başlangıç]])*24,(Tablo2[[#This Row],[Bitiş]]-Tablo2[[#This Row],[Başlangıç]])*24)))</f>
        <v>55.000000000116415</v>
      </c>
    </row>
    <row r="1700" spans="1:5" x14ac:dyDescent="0.3">
      <c r="A1700">
        <v>546</v>
      </c>
      <c r="B1700" t="s">
        <v>36</v>
      </c>
      <c r="C1700" s="1">
        <v>44617.208333333336</v>
      </c>
      <c r="D1700" s="1">
        <v>44618.125</v>
      </c>
      <c r="E1700" s="17">
        <f>IF(Tablo2[[#This Row],[Başlangıç]]="","",(IF(Tablo2[[#This Row],[Bitiş]]="",($G$1-Tablo2[[#This Row],[Başlangıç]])*24,(Tablo2[[#This Row],[Bitiş]]-Tablo2[[#This Row],[Başlangıç]])*24)))</f>
        <v>21.999999999941792</v>
      </c>
    </row>
    <row r="1701" spans="1:5" x14ac:dyDescent="0.3">
      <c r="A1701">
        <v>546</v>
      </c>
      <c r="B1701" t="s">
        <v>84</v>
      </c>
      <c r="C1701" s="1">
        <v>44622.434027777781</v>
      </c>
      <c r="D1701" s="1">
        <v>44628.333333333336</v>
      </c>
      <c r="E1701" s="17">
        <f>IF(Tablo2[[#This Row],[Başlangıç]]="","",(IF(Tablo2[[#This Row],[Bitiş]]="",($G$1-Tablo2[[#This Row],[Başlangıç]])*24,(Tablo2[[#This Row],[Bitiş]]-Tablo2[[#This Row],[Başlangıç]])*24)))</f>
        <v>141.58333333331393</v>
      </c>
    </row>
    <row r="1702" spans="1:5" x14ac:dyDescent="0.3">
      <c r="A1702">
        <v>546</v>
      </c>
      <c r="B1702" t="s">
        <v>179</v>
      </c>
      <c r="C1702" s="1">
        <v>44617.208333333336</v>
      </c>
      <c r="D1702" s="1">
        <v>44617.229166666664</v>
      </c>
      <c r="E170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703" spans="1:5" x14ac:dyDescent="0.3">
      <c r="A1703">
        <v>546</v>
      </c>
      <c r="B1703" t="s">
        <v>68</v>
      </c>
      <c r="C1703" s="1">
        <v>44625.114583333336</v>
      </c>
      <c r="D1703" s="1">
        <v>44628.708333333336</v>
      </c>
      <c r="E1703" s="17">
        <f>IF(Tablo2[[#This Row],[Başlangıç]]="","",(IF(Tablo2[[#This Row],[Bitiş]]="",($G$1-Tablo2[[#This Row],[Başlangıç]])*24,(Tablo2[[#This Row],[Bitiş]]-Tablo2[[#This Row],[Başlangıç]])*24)))</f>
        <v>86.25</v>
      </c>
    </row>
    <row r="1704" spans="1:5" x14ac:dyDescent="0.3">
      <c r="A1704">
        <v>546</v>
      </c>
      <c r="B1704" t="s">
        <v>37</v>
      </c>
      <c r="C1704" s="1">
        <v>44611.09375</v>
      </c>
      <c r="D1704" s="1">
        <v>44625.25</v>
      </c>
      <c r="E1704" s="17">
        <f>IF(Tablo2[[#This Row],[Başlangıç]]="","",(IF(Tablo2[[#This Row],[Bitiş]]="",($G$1-Tablo2[[#This Row],[Başlangıç]])*24,(Tablo2[[#This Row],[Bitiş]]-Tablo2[[#This Row],[Başlangıç]])*24)))</f>
        <v>339.75</v>
      </c>
    </row>
    <row r="1705" spans="1:5" x14ac:dyDescent="0.3">
      <c r="A1705">
        <v>546</v>
      </c>
      <c r="B1705" t="s">
        <v>65</v>
      </c>
      <c r="C1705" s="1">
        <v>44621.6875</v>
      </c>
      <c r="D1705" s="1">
        <v>44627.916666666664</v>
      </c>
      <c r="E1705" s="17">
        <f>IF(Tablo2[[#This Row],[Başlangıç]]="","",(IF(Tablo2[[#This Row],[Bitiş]]="",($G$1-Tablo2[[#This Row],[Başlangıç]])*24,(Tablo2[[#This Row],[Bitiş]]-Tablo2[[#This Row],[Başlangıç]])*24)))</f>
        <v>149.49999999994179</v>
      </c>
    </row>
    <row r="1706" spans="1:5" x14ac:dyDescent="0.3">
      <c r="A1706">
        <v>547</v>
      </c>
      <c r="B1706" t="s">
        <v>36</v>
      </c>
      <c r="C1706" s="1">
        <v>44618.010416666664</v>
      </c>
      <c r="D1706" s="1">
        <v>44619.1875</v>
      </c>
      <c r="E1706" s="17">
        <f>IF(Tablo2[[#This Row],[Başlangıç]]="","",(IF(Tablo2[[#This Row],[Bitiş]]="",($G$1-Tablo2[[#This Row],[Başlangıç]])*24,(Tablo2[[#This Row],[Bitiş]]-Tablo2[[#This Row],[Başlangıç]])*24)))</f>
        <v>28.250000000058208</v>
      </c>
    </row>
    <row r="1707" spans="1:5" x14ac:dyDescent="0.3">
      <c r="A1707">
        <v>547</v>
      </c>
      <c r="B1707" t="s">
        <v>84</v>
      </c>
      <c r="C1707" s="1">
        <v>44621.166666666664</v>
      </c>
      <c r="D1707" s="1">
        <v>44624.041666666664</v>
      </c>
      <c r="E1707" s="17">
        <f>IF(Tablo2[[#This Row],[Başlangıç]]="","",(IF(Tablo2[[#This Row],[Bitiş]]="",($G$1-Tablo2[[#This Row],[Başlangıç]])*24,(Tablo2[[#This Row],[Bitiş]]-Tablo2[[#This Row],[Başlangıç]])*24)))</f>
        <v>69</v>
      </c>
    </row>
    <row r="1708" spans="1:5" x14ac:dyDescent="0.3">
      <c r="A1708">
        <v>547</v>
      </c>
      <c r="B1708" t="s">
        <v>179</v>
      </c>
      <c r="C1708" s="1">
        <v>44618.010416666664</v>
      </c>
      <c r="D1708" s="1">
        <v>44618.03125</v>
      </c>
      <c r="E170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09" spans="1:5" x14ac:dyDescent="0.3">
      <c r="A1709">
        <v>547</v>
      </c>
      <c r="B1709" t="s">
        <v>68</v>
      </c>
      <c r="C1709" s="1">
        <v>44622.597222222219</v>
      </c>
      <c r="D1709" s="1">
        <v>44623.809027777781</v>
      </c>
      <c r="E1709" s="17">
        <f>IF(Tablo2[[#This Row],[Başlangıç]]="","",(IF(Tablo2[[#This Row],[Bitiş]]="",($G$1-Tablo2[[#This Row],[Başlangıç]])*24,(Tablo2[[#This Row],[Bitiş]]-Tablo2[[#This Row],[Başlangıç]])*24)))</f>
        <v>29.083333333488554</v>
      </c>
    </row>
    <row r="1710" spans="1:5" x14ac:dyDescent="0.3">
      <c r="A1710">
        <v>547</v>
      </c>
      <c r="B1710" t="s">
        <v>37</v>
      </c>
      <c r="C1710" s="1">
        <v>44619.548611111109</v>
      </c>
      <c r="D1710" s="1">
        <v>44622.741666666669</v>
      </c>
      <c r="E1710" s="17">
        <f>IF(Tablo2[[#This Row],[Başlangıç]]="","",(IF(Tablo2[[#This Row],[Bitiş]]="",($G$1-Tablo2[[#This Row],[Başlangıç]])*24,(Tablo2[[#This Row],[Bitiş]]-Tablo2[[#This Row],[Başlangıç]])*24)))</f>
        <v>76.633333333418705</v>
      </c>
    </row>
    <row r="1711" spans="1:5" x14ac:dyDescent="0.3">
      <c r="A1711">
        <v>547</v>
      </c>
      <c r="B1711" t="s">
        <v>65</v>
      </c>
      <c r="C1711" s="1">
        <v>44620.357638888891</v>
      </c>
      <c r="D1711" s="1">
        <v>44621.666666666664</v>
      </c>
      <c r="E1711" s="17">
        <f>IF(Tablo2[[#This Row],[Başlangıç]]="","",(IF(Tablo2[[#This Row],[Bitiş]]="",($G$1-Tablo2[[#This Row],[Başlangıç]])*24,(Tablo2[[#This Row],[Bitiş]]-Tablo2[[#This Row],[Başlangıç]])*24)))</f>
        <v>31.416666666569654</v>
      </c>
    </row>
    <row r="1712" spans="1:5" x14ac:dyDescent="0.3">
      <c r="A1712">
        <v>548</v>
      </c>
      <c r="B1712" t="s">
        <v>36</v>
      </c>
      <c r="C1712" s="1">
        <v>44618.104166666664</v>
      </c>
      <c r="D1712" s="1">
        <v>44619.815972222219</v>
      </c>
      <c r="E1712" s="17">
        <f>IF(Tablo2[[#This Row],[Başlangıç]]="","",(IF(Tablo2[[#This Row],[Bitiş]]="",($G$1-Tablo2[[#This Row],[Başlangıç]])*24,(Tablo2[[#This Row],[Bitiş]]-Tablo2[[#This Row],[Başlangıç]])*24)))</f>
        <v>41.083333333313931</v>
      </c>
    </row>
    <row r="1713" spans="1:5" x14ac:dyDescent="0.3">
      <c r="A1713">
        <v>548</v>
      </c>
      <c r="B1713" t="s">
        <v>84</v>
      </c>
      <c r="C1713" s="1">
        <v>44623.819444444445</v>
      </c>
      <c r="D1713" s="1">
        <v>44626</v>
      </c>
      <c r="E1713" s="17">
        <f>IF(Tablo2[[#This Row],[Başlangıç]]="","",(IF(Tablo2[[#This Row],[Bitiş]]="",($G$1-Tablo2[[#This Row],[Başlangıç]])*24,(Tablo2[[#This Row],[Bitiş]]-Tablo2[[#This Row],[Başlangıç]])*24)))</f>
        <v>52.333333333313931</v>
      </c>
    </row>
    <row r="1714" spans="1:5" x14ac:dyDescent="0.3">
      <c r="A1714">
        <v>548</v>
      </c>
      <c r="B1714" t="s">
        <v>179</v>
      </c>
      <c r="C1714" s="1">
        <v>44618.104166666664</v>
      </c>
      <c r="D1714" s="1">
        <v>44618.125</v>
      </c>
      <c r="E17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15" spans="1:5" x14ac:dyDescent="0.3">
      <c r="A1715">
        <v>548</v>
      </c>
      <c r="B1715" t="s">
        <v>68</v>
      </c>
      <c r="C1715" s="1">
        <v>44624.013888888891</v>
      </c>
      <c r="D1715" s="1">
        <v>44626</v>
      </c>
      <c r="E1715" s="17">
        <f>IF(Tablo2[[#This Row],[Başlangıç]]="","",(IF(Tablo2[[#This Row],[Bitiş]]="",($G$1-Tablo2[[#This Row],[Başlangıç]])*24,(Tablo2[[#This Row],[Bitiş]]-Tablo2[[#This Row],[Başlangıç]])*24)))</f>
        <v>47.666666666627862</v>
      </c>
    </row>
    <row r="1716" spans="1:5" x14ac:dyDescent="0.3">
      <c r="A1716">
        <v>548</v>
      </c>
      <c r="B1716" t="s">
        <v>37</v>
      </c>
      <c r="C1716" s="1">
        <v>44618.104166666664</v>
      </c>
      <c r="D1716" s="1">
        <v>44625.208333333336</v>
      </c>
      <c r="E1716" s="17">
        <f>IF(Tablo2[[#This Row],[Başlangıç]]="","",(IF(Tablo2[[#This Row],[Bitiş]]="",($G$1-Tablo2[[#This Row],[Başlangıç]])*24,(Tablo2[[#This Row],[Bitiş]]-Tablo2[[#This Row],[Başlangıç]])*24)))</f>
        <v>170.50000000011642</v>
      </c>
    </row>
    <row r="1717" spans="1:5" x14ac:dyDescent="0.3">
      <c r="A1717">
        <v>548</v>
      </c>
      <c r="B1717" t="s">
        <v>65</v>
      </c>
      <c r="C1717" s="1">
        <v>44622.784722222219</v>
      </c>
      <c r="D1717" s="1">
        <v>44623.791666666664</v>
      </c>
      <c r="E1717" s="17">
        <f>IF(Tablo2[[#This Row],[Başlangıç]]="","",(IF(Tablo2[[#This Row],[Bitiş]]="",($G$1-Tablo2[[#This Row],[Başlangıç]])*24,(Tablo2[[#This Row],[Bitiş]]-Tablo2[[#This Row],[Başlangıç]])*24)))</f>
        <v>24.166666666686069</v>
      </c>
    </row>
    <row r="1718" spans="1:5" x14ac:dyDescent="0.3">
      <c r="A1718">
        <v>549</v>
      </c>
      <c r="B1718" t="s">
        <v>36</v>
      </c>
      <c r="C1718" s="1">
        <v>44619.180555555555</v>
      </c>
      <c r="D1718" s="1">
        <v>44626</v>
      </c>
      <c r="E1718" s="17">
        <f>IF(Tablo2[[#This Row],[Başlangıç]]="","",(IF(Tablo2[[#This Row],[Bitiş]]="",($G$1-Tablo2[[#This Row],[Başlangıç]])*24,(Tablo2[[#This Row],[Bitiş]]-Tablo2[[#This Row],[Başlangıç]])*24)))</f>
        <v>163.66666666668607</v>
      </c>
    </row>
    <row r="1719" spans="1:5" x14ac:dyDescent="0.3">
      <c r="A1719">
        <v>549</v>
      </c>
      <c r="B1719" t="s">
        <v>84</v>
      </c>
      <c r="C1719" s="1">
        <v>44624.5</v>
      </c>
      <c r="D1719" s="1">
        <v>44624.864583333336</v>
      </c>
      <c r="E1719" s="17">
        <f>IF(Tablo2[[#This Row],[Başlangıç]]="","",(IF(Tablo2[[#This Row],[Bitiş]]="",($G$1-Tablo2[[#This Row],[Başlangıç]])*24,(Tablo2[[#This Row],[Bitiş]]-Tablo2[[#This Row],[Başlangıç]])*24)))</f>
        <v>8.7500000000582077</v>
      </c>
    </row>
    <row r="1720" spans="1:5" x14ac:dyDescent="0.3">
      <c r="A1720">
        <v>549</v>
      </c>
      <c r="B1720" t="s">
        <v>179</v>
      </c>
      <c r="C1720" s="1">
        <v>44619.180555555555</v>
      </c>
      <c r="D1720" s="1">
        <v>44619.201388888891</v>
      </c>
      <c r="E172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21" spans="1:5" x14ac:dyDescent="0.3">
      <c r="A1721">
        <v>549</v>
      </c>
      <c r="B1721" t="s">
        <v>68</v>
      </c>
      <c r="C1721" s="1">
        <v>44625.298611111109</v>
      </c>
      <c r="D1721" s="1">
        <v>44626.541666666664</v>
      </c>
      <c r="E1721" s="17">
        <f>IF(Tablo2[[#This Row],[Başlangıç]]="","",(IF(Tablo2[[#This Row],[Bitiş]]="",($G$1-Tablo2[[#This Row],[Başlangıç]])*24,(Tablo2[[#This Row],[Bitiş]]-Tablo2[[#This Row],[Başlangıç]])*24)))</f>
        <v>29.833333333313931</v>
      </c>
    </row>
    <row r="1722" spans="1:5" x14ac:dyDescent="0.3">
      <c r="A1722">
        <v>549</v>
      </c>
      <c r="B1722" t="s">
        <v>37</v>
      </c>
      <c r="C1722" s="1">
        <v>44620.715277777781</v>
      </c>
      <c r="D1722" s="1">
        <v>44625.45</v>
      </c>
      <c r="E1722" s="17">
        <f>IF(Tablo2[[#This Row],[Başlangıç]]="","",(IF(Tablo2[[#This Row],[Bitiş]]="",($G$1-Tablo2[[#This Row],[Başlangıç]])*24,(Tablo2[[#This Row],[Bitiş]]-Tablo2[[#This Row],[Başlangıç]])*24)))</f>
        <v>113.63333333318587</v>
      </c>
    </row>
    <row r="1723" spans="1:5" x14ac:dyDescent="0.3">
      <c r="A1723">
        <v>549</v>
      </c>
      <c r="B1723" t="s">
        <v>65</v>
      </c>
      <c r="C1723" s="1">
        <v>44621.381944444445</v>
      </c>
      <c r="D1723" s="1">
        <v>44624.760416666664</v>
      </c>
      <c r="E1723" s="17">
        <f>IF(Tablo2[[#This Row],[Başlangıç]]="","",(IF(Tablo2[[#This Row],[Bitiş]]="",($G$1-Tablo2[[#This Row],[Başlangıç]])*24,(Tablo2[[#This Row],[Bitiş]]-Tablo2[[#This Row],[Başlangıç]])*24)))</f>
        <v>81.083333333255723</v>
      </c>
    </row>
    <row r="1724" spans="1:5" x14ac:dyDescent="0.3">
      <c r="A1724">
        <v>550</v>
      </c>
      <c r="B1724" t="s">
        <v>36</v>
      </c>
      <c r="C1724" s="1">
        <v>44619.041666666664</v>
      </c>
      <c r="D1724" s="1">
        <v>44621.1875</v>
      </c>
      <c r="E1724" s="17">
        <f>IF(Tablo2[[#This Row],[Başlangıç]]="","",(IF(Tablo2[[#This Row],[Bitiş]]="",($G$1-Tablo2[[#This Row],[Başlangıç]])*24,(Tablo2[[#This Row],[Bitiş]]-Tablo2[[#This Row],[Başlangıç]])*24)))</f>
        <v>51.500000000058208</v>
      </c>
    </row>
    <row r="1725" spans="1:5" x14ac:dyDescent="0.3">
      <c r="A1725">
        <v>550</v>
      </c>
      <c r="B1725" t="s">
        <v>84</v>
      </c>
      <c r="C1725" s="1">
        <v>44652.097222222219</v>
      </c>
      <c r="D1725" s="1">
        <v>44652.354166666664</v>
      </c>
      <c r="E1725" s="17">
        <f>IF(Tablo2[[#This Row],[Başlangıç]]="","",(IF(Tablo2[[#This Row],[Bitiş]]="",($G$1-Tablo2[[#This Row],[Başlangıç]])*24,(Tablo2[[#This Row],[Bitiş]]-Tablo2[[#This Row],[Başlangıç]])*24)))</f>
        <v>6.1666666666860692</v>
      </c>
    </row>
    <row r="1726" spans="1:5" x14ac:dyDescent="0.3">
      <c r="A1726">
        <v>550</v>
      </c>
      <c r="B1726" t="s">
        <v>179</v>
      </c>
      <c r="C1726" s="1">
        <v>44619.041666666664</v>
      </c>
      <c r="D1726" s="1">
        <v>44619.0625</v>
      </c>
      <c r="E172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27" spans="1:5" x14ac:dyDescent="0.3">
      <c r="A1727">
        <v>550</v>
      </c>
      <c r="B1727" t="s">
        <v>68</v>
      </c>
      <c r="C1727" s="1">
        <v>44653.111111111109</v>
      </c>
      <c r="D1727" s="1"/>
      <c r="E1727" s="17">
        <f ca="1">IF(Tablo2[[#This Row],[Başlangıç]]="","",(IF(Tablo2[[#This Row],[Bitiş]]="",($G$1-Tablo2[[#This Row],[Başlangıç]])*24,(Tablo2[[#This Row],[Bitiş]]-Tablo2[[#This Row],[Başlangıç]])*24)))</f>
        <v>549.33333333337214</v>
      </c>
    </row>
    <row r="1728" spans="1:5" x14ac:dyDescent="0.3">
      <c r="A1728">
        <v>550</v>
      </c>
      <c r="B1728" t="s">
        <v>37</v>
      </c>
      <c r="C1728" s="1">
        <v>44619.052083333336</v>
      </c>
      <c r="D1728" s="1">
        <v>44653.243055555555</v>
      </c>
      <c r="E1728" s="17">
        <f>IF(Tablo2[[#This Row],[Başlangıç]]="","",(IF(Tablo2[[#This Row],[Bitiş]]="",($G$1-Tablo2[[#This Row],[Başlangıç]])*24,(Tablo2[[#This Row],[Bitiş]]-Tablo2[[#This Row],[Başlangıç]])*24)))</f>
        <v>820.58333333325572</v>
      </c>
    </row>
    <row r="1729" spans="1:5" x14ac:dyDescent="0.3">
      <c r="A1729">
        <v>550</v>
      </c>
      <c r="B1729" t="s">
        <v>65</v>
      </c>
      <c r="C1729" s="1">
        <v>44650.762499999997</v>
      </c>
      <c r="D1729" s="1">
        <v>44651.982638888891</v>
      </c>
      <c r="E1729" s="17">
        <f>IF(Tablo2[[#This Row],[Başlangıç]]="","",(IF(Tablo2[[#This Row],[Bitiş]]="",($G$1-Tablo2[[#This Row],[Başlangıç]])*24,(Tablo2[[#This Row],[Bitiş]]-Tablo2[[#This Row],[Başlangıç]])*24)))</f>
        <v>29.283333333441988</v>
      </c>
    </row>
    <row r="1730" spans="1:5" x14ac:dyDescent="0.3">
      <c r="A1730">
        <v>551</v>
      </c>
      <c r="B1730" t="s">
        <v>36</v>
      </c>
      <c r="C1730" s="1">
        <v>44620.25</v>
      </c>
      <c r="D1730" s="1">
        <v>44626.041666666664</v>
      </c>
      <c r="E1730" s="17">
        <f>IF(Tablo2[[#This Row],[Başlangıç]]="","",(IF(Tablo2[[#This Row],[Bitiş]]="",($G$1-Tablo2[[#This Row],[Başlangıç]])*24,(Tablo2[[#This Row],[Bitiş]]-Tablo2[[#This Row],[Başlangıç]])*24)))</f>
        <v>138.99999999994179</v>
      </c>
    </row>
    <row r="1731" spans="1:5" x14ac:dyDescent="0.3">
      <c r="A1731">
        <v>551</v>
      </c>
      <c r="B1731" t="s">
        <v>84</v>
      </c>
      <c r="C1731" s="1">
        <v>44625.208333333336</v>
      </c>
      <c r="D1731" s="1">
        <v>44629.333333333336</v>
      </c>
      <c r="E1731" s="17">
        <f>IF(Tablo2[[#This Row],[Başlangıç]]="","",(IF(Tablo2[[#This Row],[Bitiş]]="",($G$1-Tablo2[[#This Row],[Başlangıç]])*24,(Tablo2[[#This Row],[Bitiş]]-Tablo2[[#This Row],[Başlangıç]])*24)))</f>
        <v>99</v>
      </c>
    </row>
    <row r="1732" spans="1:5" x14ac:dyDescent="0.3">
      <c r="A1732">
        <v>551</v>
      </c>
      <c r="B1732" t="s">
        <v>179</v>
      </c>
      <c r="C1732" s="1">
        <v>44620.25</v>
      </c>
      <c r="D1732" s="1">
        <v>44620.270833333336</v>
      </c>
      <c r="E173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33" spans="1:5" x14ac:dyDescent="0.3">
      <c r="A1733">
        <v>551</v>
      </c>
      <c r="B1733" t="s">
        <v>68</v>
      </c>
      <c r="C1733" s="1">
        <v>44626.416666666664</v>
      </c>
      <c r="D1733" s="1">
        <v>44629.302083333336</v>
      </c>
      <c r="E1733" s="17">
        <f>IF(Tablo2[[#This Row],[Başlangıç]]="","",(IF(Tablo2[[#This Row],[Bitiş]]="",($G$1-Tablo2[[#This Row],[Başlangıç]])*24,(Tablo2[[#This Row],[Bitiş]]-Tablo2[[#This Row],[Başlangıç]])*24)))</f>
        <v>69.250000000116415</v>
      </c>
    </row>
    <row r="1734" spans="1:5" x14ac:dyDescent="0.3">
      <c r="A1734">
        <v>551</v>
      </c>
      <c r="B1734" t="s">
        <v>37</v>
      </c>
      <c r="C1734" s="1">
        <v>44620.260416666664</v>
      </c>
      <c r="D1734" s="1">
        <v>44629.333333333336</v>
      </c>
      <c r="E1734" s="17">
        <f>IF(Tablo2[[#This Row],[Başlangıç]]="","",(IF(Tablo2[[#This Row],[Bitiş]]="",($G$1-Tablo2[[#This Row],[Başlangıç]])*24,(Tablo2[[#This Row],[Bitiş]]-Tablo2[[#This Row],[Başlangıç]])*24)))</f>
        <v>217.75000000011642</v>
      </c>
    </row>
    <row r="1735" spans="1:5" x14ac:dyDescent="0.3">
      <c r="A1735">
        <v>551</v>
      </c>
      <c r="B1735" t="s">
        <v>65</v>
      </c>
      <c r="C1735" s="1">
        <v>44622.353472222225</v>
      </c>
      <c r="D1735" s="1">
        <v>44629.333333333336</v>
      </c>
      <c r="E1735" s="17">
        <f>IF(Tablo2[[#This Row],[Başlangıç]]="","",(IF(Tablo2[[#This Row],[Bitiş]]="",($G$1-Tablo2[[#This Row],[Başlangıç]])*24,(Tablo2[[#This Row],[Bitiş]]-Tablo2[[#This Row],[Başlangıç]])*24)))</f>
        <v>167.51666666666279</v>
      </c>
    </row>
    <row r="1736" spans="1:5" x14ac:dyDescent="0.3">
      <c r="A1736">
        <v>552</v>
      </c>
      <c r="B1736" t="s">
        <v>36</v>
      </c>
      <c r="C1736" s="1">
        <v>44620.819444444445</v>
      </c>
      <c r="D1736" s="1">
        <v>44622.243055555555</v>
      </c>
      <c r="E1736" s="17">
        <f>IF(Tablo2[[#This Row],[Başlangıç]]="","",(IF(Tablo2[[#This Row],[Bitiş]]="",($G$1-Tablo2[[#This Row],[Başlangıç]])*24,(Tablo2[[#This Row],[Bitiş]]-Tablo2[[#This Row],[Başlangıç]])*24)))</f>
        <v>34.166666666627862</v>
      </c>
    </row>
    <row r="1737" spans="1:5" x14ac:dyDescent="0.3">
      <c r="A1737">
        <v>552</v>
      </c>
      <c r="B1737" t="s">
        <v>84</v>
      </c>
      <c r="C1737" s="1">
        <v>44624.4375</v>
      </c>
      <c r="D1737" s="1">
        <v>44624.8125</v>
      </c>
      <c r="E1737" s="17">
        <f>IF(Tablo2[[#This Row],[Başlangıç]]="","",(IF(Tablo2[[#This Row],[Bitiş]]="",($G$1-Tablo2[[#This Row],[Başlangıç]])*24,(Tablo2[[#This Row],[Bitiş]]-Tablo2[[#This Row],[Başlangıç]])*24)))</f>
        <v>9</v>
      </c>
    </row>
    <row r="1738" spans="1:5" x14ac:dyDescent="0.3">
      <c r="A1738">
        <v>552</v>
      </c>
      <c r="B1738" t="s">
        <v>179</v>
      </c>
      <c r="C1738" s="1">
        <v>44620.666666666664</v>
      </c>
      <c r="D1738" s="1">
        <v>44620.6875</v>
      </c>
      <c r="E173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39" spans="1:5" x14ac:dyDescent="0.3">
      <c r="A1739">
        <v>552</v>
      </c>
      <c r="B1739" t="s">
        <v>68</v>
      </c>
      <c r="C1739" s="1">
        <v>44624.6875</v>
      </c>
      <c r="D1739" s="1">
        <v>44626.459722222222</v>
      </c>
      <c r="E1739" s="17">
        <f>IF(Tablo2[[#This Row],[Başlangıç]]="","",(IF(Tablo2[[#This Row],[Bitiş]]="",($G$1-Tablo2[[#This Row],[Başlangıç]])*24,(Tablo2[[#This Row],[Bitiş]]-Tablo2[[#This Row],[Başlangıç]])*24)))</f>
        <v>42.533333333325572</v>
      </c>
    </row>
    <row r="1740" spans="1:5" x14ac:dyDescent="0.3">
      <c r="A1740">
        <v>552</v>
      </c>
      <c r="B1740" t="s">
        <v>37</v>
      </c>
      <c r="C1740" s="1">
        <v>44621.125</v>
      </c>
      <c r="D1740" s="1">
        <v>44625.541666666664</v>
      </c>
      <c r="E1740" s="17">
        <f>IF(Tablo2[[#This Row],[Başlangıç]]="","",(IF(Tablo2[[#This Row],[Bitiş]]="",($G$1-Tablo2[[#This Row],[Başlangıç]])*24,(Tablo2[[#This Row],[Bitiş]]-Tablo2[[#This Row],[Başlangıç]])*24)))</f>
        <v>105.99999999994179</v>
      </c>
    </row>
    <row r="1741" spans="1:5" x14ac:dyDescent="0.3">
      <c r="A1741">
        <v>552</v>
      </c>
      <c r="B1741" t="s">
        <v>65</v>
      </c>
      <c r="C1741" s="1">
        <v>44623.076388888891</v>
      </c>
      <c r="D1741" s="1">
        <v>44625.541666666664</v>
      </c>
      <c r="E1741" s="17">
        <f>IF(Tablo2[[#This Row],[Başlangıç]]="","",(IF(Tablo2[[#This Row],[Bitiş]]="",($G$1-Tablo2[[#This Row],[Başlangıç]])*24,(Tablo2[[#This Row],[Bitiş]]-Tablo2[[#This Row],[Başlangıç]])*24)))</f>
        <v>59.166666666569654</v>
      </c>
    </row>
    <row r="1742" spans="1:5" x14ac:dyDescent="0.3">
      <c r="A1742">
        <v>553</v>
      </c>
      <c r="B1742" t="s">
        <v>36</v>
      </c>
      <c r="C1742" s="1">
        <v>44621.381944444445</v>
      </c>
      <c r="D1742" s="1">
        <v>44622.652777777781</v>
      </c>
      <c r="E1742" s="17">
        <f>IF(Tablo2[[#This Row],[Başlangıç]]="","",(IF(Tablo2[[#This Row],[Bitiş]]="",($G$1-Tablo2[[#This Row],[Başlangıç]])*24,(Tablo2[[#This Row],[Bitiş]]-Tablo2[[#This Row],[Başlangıç]])*24)))</f>
        <v>30.500000000058208</v>
      </c>
    </row>
    <row r="1743" spans="1:5" x14ac:dyDescent="0.3">
      <c r="A1743">
        <v>553</v>
      </c>
      <c r="B1743" t="s">
        <v>84</v>
      </c>
      <c r="C1743" s="1">
        <v>44626.368055555555</v>
      </c>
      <c r="D1743" s="1">
        <v>44634</v>
      </c>
      <c r="E1743" s="17">
        <f>IF(Tablo2[[#This Row],[Başlangıç]]="","",(IF(Tablo2[[#This Row],[Bitiş]]="",($G$1-Tablo2[[#This Row],[Başlangıç]])*24,(Tablo2[[#This Row],[Bitiş]]-Tablo2[[#This Row],[Başlangıç]])*24)))</f>
        <v>183.16666666668607</v>
      </c>
    </row>
    <row r="1744" spans="1:5" x14ac:dyDescent="0.3">
      <c r="A1744">
        <v>553</v>
      </c>
      <c r="B1744" t="s">
        <v>179</v>
      </c>
      <c r="C1744" s="1">
        <v>44621.375</v>
      </c>
      <c r="D1744" s="1">
        <v>44621.395833333336</v>
      </c>
      <c r="E174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45" spans="1:5" x14ac:dyDescent="0.3">
      <c r="A1745">
        <v>553</v>
      </c>
      <c r="B1745" t="s">
        <v>68</v>
      </c>
      <c r="C1745" s="1">
        <v>44627.4375</v>
      </c>
      <c r="D1745" s="1">
        <v>44634.289583333331</v>
      </c>
      <c r="E1745" s="17">
        <f>IF(Tablo2[[#This Row],[Başlangıç]]="","",(IF(Tablo2[[#This Row],[Bitiş]]="",($G$1-Tablo2[[#This Row],[Başlangıç]])*24,(Tablo2[[#This Row],[Bitiş]]-Tablo2[[#This Row],[Başlangıç]])*24)))</f>
        <v>164.44999999995343</v>
      </c>
    </row>
    <row r="1746" spans="1:5" x14ac:dyDescent="0.3">
      <c r="A1746">
        <v>553</v>
      </c>
      <c r="B1746" t="s">
        <v>37</v>
      </c>
      <c r="C1746" s="1">
        <v>44621.15625</v>
      </c>
      <c r="D1746" s="1">
        <v>44634</v>
      </c>
      <c r="E1746" s="17">
        <f>IF(Tablo2[[#This Row],[Başlangıç]]="","",(IF(Tablo2[[#This Row],[Bitiş]]="",($G$1-Tablo2[[#This Row],[Başlangıç]])*24,(Tablo2[[#This Row],[Bitiş]]-Tablo2[[#This Row],[Başlangıç]])*24)))</f>
        <v>308.25</v>
      </c>
    </row>
    <row r="1747" spans="1:5" x14ac:dyDescent="0.3">
      <c r="A1747">
        <v>553</v>
      </c>
      <c r="B1747" t="s">
        <v>65</v>
      </c>
      <c r="C1747" s="1">
        <v>44625.041666666664</v>
      </c>
      <c r="D1747" s="1">
        <v>44634</v>
      </c>
      <c r="E1747" s="17">
        <f>IF(Tablo2[[#This Row],[Başlangıç]]="","",(IF(Tablo2[[#This Row],[Bitiş]]="",($G$1-Tablo2[[#This Row],[Başlangıç]])*24,(Tablo2[[#This Row],[Bitiş]]-Tablo2[[#This Row],[Başlangıç]])*24)))</f>
        <v>215.00000000005821</v>
      </c>
    </row>
    <row r="1748" spans="1:5" x14ac:dyDescent="0.3">
      <c r="A1748">
        <v>554</v>
      </c>
      <c r="B1748" t="s">
        <v>36</v>
      </c>
      <c r="C1748" s="1">
        <v>44621.904166666667</v>
      </c>
      <c r="D1748" s="1">
        <v>44631.5</v>
      </c>
      <c r="E1748" s="17">
        <f>IF(Tablo2[[#This Row],[Başlangıç]]="","",(IF(Tablo2[[#This Row],[Bitiş]]="",($G$1-Tablo2[[#This Row],[Başlangıç]])*24,(Tablo2[[#This Row],[Bitiş]]-Tablo2[[#This Row],[Başlangıç]])*24)))</f>
        <v>230.29999999998836</v>
      </c>
    </row>
    <row r="1749" spans="1:5" x14ac:dyDescent="0.3">
      <c r="A1749">
        <v>554</v>
      </c>
      <c r="B1749" t="s">
        <v>84</v>
      </c>
      <c r="C1749" s="1">
        <v>44630.138888888891</v>
      </c>
      <c r="D1749" s="1">
        <v>44631.645833333336</v>
      </c>
      <c r="E1749" s="17">
        <f>IF(Tablo2[[#This Row],[Başlangıç]]="","",(IF(Tablo2[[#This Row],[Bitiş]]="",($G$1-Tablo2[[#This Row],[Başlangıç]])*24,(Tablo2[[#This Row],[Bitiş]]-Tablo2[[#This Row],[Başlangıç]])*24)))</f>
        <v>36.166666666686069</v>
      </c>
    </row>
    <row r="1750" spans="1:5" x14ac:dyDescent="0.3">
      <c r="A1750">
        <v>554</v>
      </c>
      <c r="B1750" t="s">
        <v>179</v>
      </c>
      <c r="C1750" s="1">
        <v>44621.833333333336</v>
      </c>
      <c r="D1750" s="1">
        <v>44621.854166666664</v>
      </c>
      <c r="E175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751" spans="1:5" x14ac:dyDescent="0.3">
      <c r="A1751">
        <v>554</v>
      </c>
      <c r="B1751" t="s">
        <v>68</v>
      </c>
      <c r="C1751" s="1">
        <v>44630.625</v>
      </c>
      <c r="D1751" s="1">
        <v>44631.75</v>
      </c>
      <c r="E1751" s="17">
        <f>IF(Tablo2[[#This Row],[Başlangıç]]="","",(IF(Tablo2[[#This Row],[Bitiş]]="",($G$1-Tablo2[[#This Row],[Başlangıç]])*24,(Tablo2[[#This Row],[Bitiş]]-Tablo2[[#This Row],[Başlangıç]])*24)))</f>
        <v>27</v>
      </c>
    </row>
    <row r="1752" spans="1:5" x14ac:dyDescent="0.3">
      <c r="A1752">
        <v>554</v>
      </c>
      <c r="B1752" t="s">
        <v>37</v>
      </c>
      <c r="C1752" s="1">
        <v>44623.385416666664</v>
      </c>
      <c r="D1752" s="1">
        <v>44630.625</v>
      </c>
      <c r="E1752" s="17">
        <f>IF(Tablo2[[#This Row],[Başlangıç]]="","",(IF(Tablo2[[#This Row],[Bitiş]]="",($G$1-Tablo2[[#This Row],[Başlangıç]])*24,(Tablo2[[#This Row],[Bitiş]]-Tablo2[[#This Row],[Başlangıç]])*24)))</f>
        <v>173.75000000005821</v>
      </c>
    </row>
    <row r="1753" spans="1:5" x14ac:dyDescent="0.3">
      <c r="A1753">
        <v>554</v>
      </c>
      <c r="B1753" t="s">
        <v>65</v>
      </c>
      <c r="C1753" s="1">
        <v>44628.791666666664</v>
      </c>
      <c r="D1753" s="1">
        <v>44631.5</v>
      </c>
      <c r="E1753" s="17">
        <f>IF(Tablo2[[#This Row],[Başlangıç]]="","",(IF(Tablo2[[#This Row],[Bitiş]]="",($G$1-Tablo2[[#This Row],[Başlangıç]])*24,(Tablo2[[#This Row],[Bitiş]]-Tablo2[[#This Row],[Başlangıç]])*24)))</f>
        <v>65.000000000058208</v>
      </c>
    </row>
    <row r="1754" spans="1:5" x14ac:dyDescent="0.3">
      <c r="A1754">
        <v>555</v>
      </c>
      <c r="B1754" t="s">
        <v>36</v>
      </c>
      <c r="C1754" s="1">
        <v>44622.416666666664</v>
      </c>
      <c r="D1754" s="1">
        <v>44623.553472222222</v>
      </c>
      <c r="E1754" s="17">
        <f>IF(Tablo2[[#This Row],[Başlangıç]]="","",(IF(Tablo2[[#This Row],[Bitiş]]="",($G$1-Tablo2[[#This Row],[Başlangıç]])*24,(Tablo2[[#This Row],[Bitiş]]-Tablo2[[#This Row],[Başlangıç]])*24)))</f>
        <v>27.28333333338378</v>
      </c>
    </row>
    <row r="1755" spans="1:5" x14ac:dyDescent="0.3">
      <c r="A1755">
        <v>555</v>
      </c>
      <c r="B1755" t="s">
        <v>84</v>
      </c>
      <c r="C1755" s="1">
        <v>44627.833333333336</v>
      </c>
      <c r="D1755" s="1">
        <v>44637.958333333336</v>
      </c>
      <c r="E1755" s="17">
        <f>IF(Tablo2[[#This Row],[Başlangıç]]="","",(IF(Tablo2[[#This Row],[Bitiş]]="",($G$1-Tablo2[[#This Row],[Başlangıç]])*24,(Tablo2[[#This Row],[Bitiş]]-Tablo2[[#This Row],[Başlangıç]])*24)))</f>
        <v>243</v>
      </c>
    </row>
    <row r="1756" spans="1:5" x14ac:dyDescent="0.3">
      <c r="A1756">
        <v>555</v>
      </c>
      <c r="B1756" t="s">
        <v>179</v>
      </c>
      <c r="C1756" s="1">
        <v>44621.48333333333</v>
      </c>
      <c r="D1756" s="1">
        <v>44621.504166666666</v>
      </c>
      <c r="E17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57" spans="1:5" x14ac:dyDescent="0.3">
      <c r="A1757">
        <v>555</v>
      </c>
      <c r="B1757" t="s">
        <v>68</v>
      </c>
      <c r="C1757" s="1">
        <v>37329.034722222219</v>
      </c>
      <c r="D1757" s="1">
        <v>44637.708333333336</v>
      </c>
      <c r="E1757" s="17">
        <f>IF(Tablo2[[#This Row],[Başlangıç]]="","",(IF(Tablo2[[#This Row],[Bitiş]]="",($G$1-Tablo2[[#This Row],[Başlangıç]])*24,(Tablo2[[#This Row],[Bitiş]]-Tablo2[[#This Row],[Başlangıç]])*24)))</f>
        <v>175408.1666666668</v>
      </c>
    </row>
    <row r="1758" spans="1:5" x14ac:dyDescent="0.3">
      <c r="A1758">
        <v>555</v>
      </c>
      <c r="B1758" t="s">
        <v>37</v>
      </c>
      <c r="C1758" s="1">
        <v>44622.010416666664</v>
      </c>
      <c r="D1758" s="1">
        <v>44633.604166666664</v>
      </c>
      <c r="E1758" s="17">
        <f>IF(Tablo2[[#This Row],[Başlangıç]]="","",(IF(Tablo2[[#This Row],[Bitiş]]="",($G$1-Tablo2[[#This Row],[Başlangıç]])*24,(Tablo2[[#This Row],[Bitiş]]-Tablo2[[#This Row],[Başlangıç]])*24)))</f>
        <v>278.25</v>
      </c>
    </row>
    <row r="1759" spans="1:5" x14ac:dyDescent="0.3">
      <c r="A1759">
        <v>555</v>
      </c>
      <c r="B1759" t="s">
        <v>65</v>
      </c>
      <c r="C1759" s="1">
        <v>44626.708333333336</v>
      </c>
      <c r="D1759" s="1">
        <v>44627.804166666669</v>
      </c>
      <c r="E1759" s="17">
        <f>IF(Tablo2[[#This Row],[Başlangıç]]="","",(IF(Tablo2[[#This Row],[Bitiş]]="",($G$1-Tablo2[[#This Row],[Başlangıç]])*24,(Tablo2[[#This Row],[Bitiş]]-Tablo2[[#This Row],[Başlangıç]])*24)))</f>
        <v>26.299999999988358</v>
      </c>
    </row>
    <row r="1760" spans="1:5" x14ac:dyDescent="0.3">
      <c r="A1760">
        <v>556</v>
      </c>
      <c r="B1760" t="s">
        <v>36</v>
      </c>
      <c r="C1760" s="1">
        <v>44622.809027777781</v>
      </c>
      <c r="D1760" s="1">
        <v>44635.5</v>
      </c>
      <c r="E1760" s="17">
        <f>IF(Tablo2[[#This Row],[Başlangıç]]="","",(IF(Tablo2[[#This Row],[Bitiş]]="",($G$1-Tablo2[[#This Row],[Başlangıç]])*24,(Tablo2[[#This Row],[Bitiş]]-Tablo2[[#This Row],[Başlangıç]])*24)))</f>
        <v>304.58333333325572</v>
      </c>
    </row>
    <row r="1761" spans="1:5" x14ac:dyDescent="0.3">
      <c r="A1761">
        <v>556</v>
      </c>
      <c r="B1761" t="s">
        <v>84</v>
      </c>
      <c r="C1761" s="1">
        <v>44637</v>
      </c>
      <c r="D1761" s="1">
        <v>44637.416666666664</v>
      </c>
      <c r="E1761" s="17">
        <f>IF(Tablo2[[#This Row],[Başlangıç]]="","",(IF(Tablo2[[#This Row],[Bitiş]]="",($G$1-Tablo2[[#This Row],[Başlangıç]])*24,(Tablo2[[#This Row],[Bitiş]]-Tablo2[[#This Row],[Başlangıç]])*24)))</f>
        <v>9.9999999999417923</v>
      </c>
    </row>
    <row r="1762" spans="1:5" x14ac:dyDescent="0.3">
      <c r="A1762">
        <v>556</v>
      </c>
      <c r="B1762" t="s">
        <v>179</v>
      </c>
      <c r="C1762" s="1">
        <v>44622.6875</v>
      </c>
      <c r="D1762" s="1">
        <v>44622.708333333336</v>
      </c>
      <c r="E176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63" spans="1:5" x14ac:dyDescent="0.3">
      <c r="A1763">
        <v>556</v>
      </c>
      <c r="B1763" t="s">
        <v>68</v>
      </c>
      <c r="C1763" s="1">
        <v>44626.916666666664</v>
      </c>
      <c r="D1763" s="1">
        <v>44637.708333333336</v>
      </c>
      <c r="E1763" s="17">
        <f>IF(Tablo2[[#This Row],[Başlangıç]]="","",(IF(Tablo2[[#This Row],[Bitiş]]="",($G$1-Tablo2[[#This Row],[Başlangıç]])*24,(Tablo2[[#This Row],[Bitiş]]-Tablo2[[#This Row],[Başlangıç]])*24)))</f>
        <v>259.00000000011642</v>
      </c>
    </row>
    <row r="1764" spans="1:5" x14ac:dyDescent="0.3">
      <c r="A1764">
        <v>556</v>
      </c>
      <c r="B1764" t="s">
        <v>37</v>
      </c>
      <c r="C1764" s="1">
        <v>44622.729166666664</v>
      </c>
      <c r="D1764" s="1">
        <v>44635.5</v>
      </c>
      <c r="E1764" s="17">
        <f>IF(Tablo2[[#This Row],[Başlangıç]]="","",(IF(Tablo2[[#This Row],[Bitiş]]="",($G$1-Tablo2[[#This Row],[Başlangıç]])*24,(Tablo2[[#This Row],[Bitiş]]-Tablo2[[#This Row],[Başlangıç]])*24)))</f>
        <v>306.50000000005821</v>
      </c>
    </row>
    <row r="1765" spans="1:5" x14ac:dyDescent="0.3">
      <c r="A1765">
        <v>556</v>
      </c>
      <c r="B1765" t="s">
        <v>65</v>
      </c>
      <c r="C1765" s="1">
        <v>44626.010416666664</v>
      </c>
      <c r="D1765" s="1">
        <v>44637.416666666664</v>
      </c>
      <c r="E1765" s="17">
        <f>IF(Tablo2[[#This Row],[Başlangıç]]="","",(IF(Tablo2[[#This Row],[Bitiş]]="",($G$1-Tablo2[[#This Row],[Başlangıç]])*24,(Tablo2[[#This Row],[Bitiş]]-Tablo2[[#This Row],[Başlangıç]])*24)))</f>
        <v>273.75</v>
      </c>
    </row>
    <row r="1766" spans="1:5" x14ac:dyDescent="0.3">
      <c r="A1766">
        <v>557</v>
      </c>
      <c r="B1766" t="s">
        <v>36</v>
      </c>
      <c r="C1766" s="1">
        <v>44623.319444444445</v>
      </c>
      <c r="D1766" s="1">
        <v>44638</v>
      </c>
      <c r="E1766" s="17">
        <f>IF(Tablo2[[#This Row],[Başlangıç]]="","",(IF(Tablo2[[#This Row],[Bitiş]]="",($G$1-Tablo2[[#This Row],[Başlangıç]])*24,(Tablo2[[#This Row],[Bitiş]]-Tablo2[[#This Row],[Başlangıç]])*24)))</f>
        <v>352.33333333331393</v>
      </c>
    </row>
    <row r="1767" spans="1:5" x14ac:dyDescent="0.3">
      <c r="A1767">
        <v>557</v>
      </c>
      <c r="B1767" t="s">
        <v>84</v>
      </c>
      <c r="C1767" s="1">
        <v>44638</v>
      </c>
      <c r="D1767" s="1">
        <v>44638</v>
      </c>
      <c r="E1767" s="17">
        <f>IF(Tablo2[[#This Row],[Başlangıç]]="","",(IF(Tablo2[[#This Row],[Bitiş]]="",($G$1-Tablo2[[#This Row],[Başlangıç]])*24,(Tablo2[[#This Row],[Bitiş]]-Tablo2[[#This Row],[Başlangıç]])*24)))</f>
        <v>0</v>
      </c>
    </row>
    <row r="1768" spans="1:5" x14ac:dyDescent="0.3">
      <c r="A1768">
        <v>557</v>
      </c>
      <c r="B1768" t="s">
        <v>179</v>
      </c>
      <c r="C1768" s="1">
        <v>44622.791666666664</v>
      </c>
      <c r="D1768" s="1">
        <v>44622.8125</v>
      </c>
      <c r="E176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69" spans="1:5" x14ac:dyDescent="0.3">
      <c r="A1769">
        <v>557</v>
      </c>
      <c r="B1769" t="s">
        <v>68</v>
      </c>
      <c r="C1769" s="1">
        <v>44626.602777777778</v>
      </c>
      <c r="D1769" s="1">
        <v>44638</v>
      </c>
      <c r="E1769" s="17">
        <f>IF(Tablo2[[#This Row],[Başlangıç]]="","",(IF(Tablo2[[#This Row],[Bitiş]]="",($G$1-Tablo2[[#This Row],[Başlangıç]])*24,(Tablo2[[#This Row],[Bitiş]]-Tablo2[[#This Row],[Başlangıç]])*24)))</f>
        <v>273.53333333332557</v>
      </c>
    </row>
    <row r="1770" spans="1:5" x14ac:dyDescent="0.3">
      <c r="A1770">
        <v>557</v>
      </c>
      <c r="B1770" t="s">
        <v>37</v>
      </c>
      <c r="C1770" s="1">
        <v>44622.90625</v>
      </c>
      <c r="D1770" s="1">
        <v>44638</v>
      </c>
      <c r="E1770" s="17">
        <f>IF(Tablo2[[#This Row],[Başlangıç]]="","",(IF(Tablo2[[#This Row],[Bitiş]]="",($G$1-Tablo2[[#This Row],[Başlangıç]])*24,(Tablo2[[#This Row],[Bitiş]]-Tablo2[[#This Row],[Başlangıç]])*24)))</f>
        <v>362.25</v>
      </c>
    </row>
    <row r="1771" spans="1:5" x14ac:dyDescent="0.3">
      <c r="A1771">
        <v>557</v>
      </c>
      <c r="B1771" t="s">
        <v>65</v>
      </c>
      <c r="C1771" s="1">
        <v>44625.520833333336</v>
      </c>
      <c r="D1771" s="1">
        <v>44638</v>
      </c>
      <c r="E1771" s="17">
        <f>IF(Tablo2[[#This Row],[Başlangıç]]="","",(IF(Tablo2[[#This Row],[Bitiş]]="",($G$1-Tablo2[[#This Row],[Başlangıç]])*24,(Tablo2[[#This Row],[Bitiş]]-Tablo2[[#This Row],[Başlangıç]])*24)))</f>
        <v>299.49999999994179</v>
      </c>
    </row>
    <row r="1772" spans="1:5" x14ac:dyDescent="0.3">
      <c r="A1772">
        <v>558</v>
      </c>
      <c r="B1772" t="s">
        <v>36</v>
      </c>
      <c r="C1772" s="1">
        <v>44623.635416666664</v>
      </c>
      <c r="D1772" s="1">
        <v>44624.84375</v>
      </c>
      <c r="E1772" s="17">
        <f>IF(Tablo2[[#This Row],[Başlangıç]]="","",(IF(Tablo2[[#This Row],[Bitiş]]="",($G$1-Tablo2[[#This Row],[Başlangıç]])*24,(Tablo2[[#This Row],[Bitiş]]-Tablo2[[#This Row],[Başlangıç]])*24)))</f>
        <v>29.000000000058208</v>
      </c>
    </row>
    <row r="1773" spans="1:5" x14ac:dyDescent="0.3">
      <c r="A1773">
        <v>558</v>
      </c>
      <c r="B1773" t="s">
        <v>84</v>
      </c>
      <c r="C1773" s="1">
        <v>44628.701388888891</v>
      </c>
      <c r="D1773" s="1">
        <v>44629.3125</v>
      </c>
      <c r="E1773" s="17">
        <f>IF(Tablo2[[#This Row],[Başlangıç]]="","",(IF(Tablo2[[#This Row],[Bitiş]]="",($G$1-Tablo2[[#This Row],[Başlangıç]])*24,(Tablo2[[#This Row],[Bitiş]]-Tablo2[[#This Row],[Başlangıç]])*24)))</f>
        <v>14.666666666627862</v>
      </c>
    </row>
    <row r="1774" spans="1:5" x14ac:dyDescent="0.3">
      <c r="A1774">
        <v>558</v>
      </c>
      <c r="B1774" t="s">
        <v>179</v>
      </c>
      <c r="C1774" s="1">
        <v>44623.625</v>
      </c>
      <c r="D1774" s="1">
        <v>44623.645833333336</v>
      </c>
      <c r="E17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75" spans="1:5" x14ac:dyDescent="0.3">
      <c r="A1775">
        <v>558</v>
      </c>
      <c r="B1775" t="s">
        <v>68</v>
      </c>
      <c r="C1775" s="1">
        <v>44629.010416666664</v>
      </c>
      <c r="D1775" s="1">
        <v>44630.75</v>
      </c>
      <c r="E1775" s="17">
        <f>IF(Tablo2[[#This Row],[Başlangıç]]="","",(IF(Tablo2[[#This Row],[Bitiş]]="",($G$1-Tablo2[[#This Row],[Başlangıç]])*24,(Tablo2[[#This Row],[Bitiş]]-Tablo2[[#This Row],[Başlangıç]])*24)))</f>
        <v>41.750000000058208</v>
      </c>
    </row>
    <row r="1776" spans="1:5" x14ac:dyDescent="0.3">
      <c r="A1776">
        <v>558</v>
      </c>
      <c r="B1776" t="s">
        <v>37</v>
      </c>
      <c r="C1776" s="1">
        <v>44624.5</v>
      </c>
      <c r="D1776" s="1">
        <v>44630.125</v>
      </c>
      <c r="E1776" s="17">
        <f>IF(Tablo2[[#This Row],[Başlangıç]]="","",(IF(Tablo2[[#This Row],[Bitiş]]="",($G$1-Tablo2[[#This Row],[Başlangıç]])*24,(Tablo2[[#This Row],[Bitiş]]-Tablo2[[#This Row],[Başlangıç]])*24)))</f>
        <v>135</v>
      </c>
    </row>
    <row r="1777" spans="1:5" x14ac:dyDescent="0.3">
      <c r="A1777">
        <v>558</v>
      </c>
      <c r="B1777" t="s">
        <v>65</v>
      </c>
      <c r="C1777" s="1">
        <v>44627.052083333336</v>
      </c>
      <c r="D1777" s="1">
        <v>44628.614583333336</v>
      </c>
      <c r="E1777" s="17">
        <f>IF(Tablo2[[#This Row],[Başlangıç]]="","",(IF(Tablo2[[#This Row],[Bitiş]]="",($G$1-Tablo2[[#This Row],[Başlangıç]])*24,(Tablo2[[#This Row],[Bitiş]]-Tablo2[[#This Row],[Başlangıç]])*24)))</f>
        <v>37.5</v>
      </c>
    </row>
    <row r="1778" spans="1:5" x14ac:dyDescent="0.3">
      <c r="A1778">
        <v>559</v>
      </c>
      <c r="B1778" t="s">
        <v>36</v>
      </c>
      <c r="C1778" s="1">
        <v>44624.885416666664</v>
      </c>
      <c r="D1778" s="1">
        <v>44625.201388888891</v>
      </c>
      <c r="E1778" s="17">
        <f>IF(Tablo2[[#This Row],[Başlangıç]]="","",(IF(Tablo2[[#This Row],[Bitiş]]="",($G$1-Tablo2[[#This Row],[Başlangıç]])*24,(Tablo2[[#This Row],[Bitiş]]-Tablo2[[#This Row],[Başlangıç]])*24)))</f>
        <v>7.5833333334303461</v>
      </c>
    </row>
    <row r="1779" spans="1:5" x14ac:dyDescent="0.3">
      <c r="A1779">
        <v>559</v>
      </c>
      <c r="B1779" t="s">
        <v>84</v>
      </c>
      <c r="C1779" s="1">
        <v>44635.1875</v>
      </c>
      <c r="D1779" s="1">
        <v>44635.666666666664</v>
      </c>
      <c r="E1779" s="17">
        <f>IF(Tablo2[[#This Row],[Başlangıç]]="","",(IF(Tablo2[[#This Row],[Bitiş]]="",($G$1-Tablo2[[#This Row],[Başlangıç]])*24,(Tablo2[[#This Row],[Bitiş]]-Tablo2[[#This Row],[Başlangıç]])*24)))</f>
        <v>11.499999999941792</v>
      </c>
    </row>
    <row r="1780" spans="1:5" x14ac:dyDescent="0.3">
      <c r="A1780">
        <v>559</v>
      </c>
      <c r="B1780" t="s">
        <v>179</v>
      </c>
      <c r="C1780" s="1">
        <v>44624.5</v>
      </c>
      <c r="D1780" s="1">
        <v>44624.520833333336</v>
      </c>
      <c r="E17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81" spans="1:5" x14ac:dyDescent="0.3">
      <c r="A1781">
        <v>559</v>
      </c>
      <c r="B1781" t="s">
        <v>68</v>
      </c>
      <c r="C1781" s="1">
        <v>44635.677083333336</v>
      </c>
      <c r="D1781" s="1">
        <v>44638.625</v>
      </c>
      <c r="E1781" s="17">
        <f>IF(Tablo2[[#This Row],[Başlangıç]]="","",(IF(Tablo2[[#This Row],[Bitiş]]="",($G$1-Tablo2[[#This Row],[Başlangıç]])*24,(Tablo2[[#This Row],[Bitiş]]-Tablo2[[#This Row],[Başlangıç]])*24)))</f>
        <v>70.749999999941792</v>
      </c>
    </row>
    <row r="1782" spans="1:5" x14ac:dyDescent="0.3">
      <c r="A1782">
        <v>559</v>
      </c>
      <c r="B1782" t="s">
        <v>37</v>
      </c>
      <c r="C1782" s="1">
        <v>44629.243055555555</v>
      </c>
      <c r="D1782" s="1">
        <v>44637.84375</v>
      </c>
      <c r="E1782" s="17">
        <f>IF(Tablo2[[#This Row],[Başlangıç]]="","",(IF(Tablo2[[#This Row],[Bitiş]]="",($G$1-Tablo2[[#This Row],[Başlangıç]])*24,(Tablo2[[#This Row],[Bitiş]]-Tablo2[[#This Row],[Başlangıç]])*24)))</f>
        <v>206.41666666668607</v>
      </c>
    </row>
    <row r="1783" spans="1:5" x14ac:dyDescent="0.3">
      <c r="A1783">
        <v>559</v>
      </c>
      <c r="B1783" t="s">
        <v>65</v>
      </c>
      <c r="C1783" s="1">
        <v>44633.194444444445</v>
      </c>
      <c r="D1783" s="1">
        <v>44638.670138888891</v>
      </c>
      <c r="E1783" s="17">
        <f>IF(Tablo2[[#This Row],[Başlangıç]]="","",(IF(Tablo2[[#This Row],[Bitiş]]="",($G$1-Tablo2[[#This Row],[Başlangıç]])*24,(Tablo2[[#This Row],[Bitiş]]-Tablo2[[#This Row],[Başlangıç]])*24)))</f>
        <v>131.41666666668607</v>
      </c>
    </row>
    <row r="1784" spans="1:5" x14ac:dyDescent="0.3">
      <c r="A1784">
        <v>560</v>
      </c>
      <c r="B1784" t="s">
        <v>36</v>
      </c>
      <c r="C1784" s="1">
        <v>44624.714583333334</v>
      </c>
      <c r="D1784" s="1">
        <v>44625.826388888891</v>
      </c>
      <c r="E1784" s="17">
        <f>IF(Tablo2[[#This Row],[Başlangıç]]="","",(IF(Tablo2[[#This Row],[Bitiş]]="",($G$1-Tablo2[[#This Row],[Başlangıç]])*24,(Tablo2[[#This Row],[Bitiş]]-Tablo2[[#This Row],[Başlangıç]])*24)))</f>
        <v>26.683333333348855</v>
      </c>
    </row>
    <row r="1785" spans="1:5" x14ac:dyDescent="0.3">
      <c r="A1785">
        <v>560</v>
      </c>
      <c r="B1785" t="s">
        <v>84</v>
      </c>
      <c r="C1785" s="1">
        <v>44633</v>
      </c>
      <c r="D1785" s="1">
        <v>44633</v>
      </c>
      <c r="E1785" s="17">
        <f>IF(Tablo2[[#This Row],[Başlangıç]]="","",(IF(Tablo2[[#This Row],[Bitiş]]="",($G$1-Tablo2[[#This Row],[Başlangıç]])*24,(Tablo2[[#This Row],[Bitiş]]-Tablo2[[#This Row],[Başlangıç]])*24)))</f>
        <v>0</v>
      </c>
    </row>
    <row r="1786" spans="1:5" x14ac:dyDescent="0.3">
      <c r="A1786">
        <v>560</v>
      </c>
      <c r="B1786" t="s">
        <v>179</v>
      </c>
      <c r="C1786" s="1">
        <v>44624.583333333336</v>
      </c>
      <c r="D1786" s="1">
        <v>44624.604166666664</v>
      </c>
      <c r="E178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787" spans="1:5" x14ac:dyDescent="0.3">
      <c r="A1787">
        <v>560</v>
      </c>
      <c r="B1787" t="s">
        <v>68</v>
      </c>
      <c r="C1787" s="1">
        <v>44629.895833333336</v>
      </c>
      <c r="D1787" s="1">
        <v>44632.020833333336</v>
      </c>
      <c r="E1787" s="17">
        <f>IF(Tablo2[[#This Row],[Başlangıç]]="","",(IF(Tablo2[[#This Row],[Bitiş]]="",($G$1-Tablo2[[#This Row],[Başlangıç]])*24,(Tablo2[[#This Row],[Bitiş]]-Tablo2[[#This Row],[Başlangıç]])*24)))</f>
        <v>51</v>
      </c>
    </row>
    <row r="1788" spans="1:5" x14ac:dyDescent="0.3">
      <c r="A1788">
        <v>560</v>
      </c>
      <c r="B1788" t="s">
        <v>37</v>
      </c>
      <c r="C1788" s="1">
        <v>44626.395833333336</v>
      </c>
      <c r="D1788" s="1">
        <v>44633</v>
      </c>
      <c r="E1788" s="17">
        <f>IF(Tablo2[[#This Row],[Başlangıç]]="","",(IF(Tablo2[[#This Row],[Bitiş]]="",($G$1-Tablo2[[#This Row],[Başlangıç]])*24,(Tablo2[[#This Row],[Bitiş]]-Tablo2[[#This Row],[Başlangıç]])*24)))</f>
        <v>158.49999999994179</v>
      </c>
    </row>
    <row r="1789" spans="1:5" x14ac:dyDescent="0.3">
      <c r="A1789">
        <v>560</v>
      </c>
      <c r="B1789" t="s">
        <v>65</v>
      </c>
      <c r="C1789" s="1">
        <v>44627.6875</v>
      </c>
      <c r="D1789" s="1">
        <v>44633</v>
      </c>
      <c r="E1789" s="17">
        <f>IF(Tablo2[[#This Row],[Başlangıç]]="","",(IF(Tablo2[[#This Row],[Bitiş]]="",($G$1-Tablo2[[#This Row],[Başlangıç]])*24,(Tablo2[[#This Row],[Bitiş]]-Tablo2[[#This Row],[Başlangıç]])*24)))</f>
        <v>127.5</v>
      </c>
    </row>
    <row r="1790" spans="1:5" x14ac:dyDescent="0.3">
      <c r="A1790">
        <v>561</v>
      </c>
      <c r="B1790" t="s">
        <v>36</v>
      </c>
      <c r="C1790" s="1">
        <v>44625.125</v>
      </c>
      <c r="D1790" s="1">
        <v>44626.454861111109</v>
      </c>
      <c r="E1790" s="17">
        <f>IF(Tablo2[[#This Row],[Başlangıç]]="","",(IF(Tablo2[[#This Row],[Bitiş]]="",($G$1-Tablo2[[#This Row],[Başlangıç]])*24,(Tablo2[[#This Row],[Bitiş]]-Tablo2[[#This Row],[Başlangıç]])*24)))</f>
        <v>31.916666666627862</v>
      </c>
    </row>
    <row r="1791" spans="1:5" x14ac:dyDescent="0.3">
      <c r="A1791">
        <v>561</v>
      </c>
      <c r="B1791" t="s">
        <v>84</v>
      </c>
      <c r="C1791" s="1">
        <v>44633</v>
      </c>
      <c r="D1791" s="1">
        <v>44633</v>
      </c>
      <c r="E1791" s="17">
        <f>IF(Tablo2[[#This Row],[Başlangıç]]="","",(IF(Tablo2[[#This Row],[Bitiş]]="",($G$1-Tablo2[[#This Row],[Başlangıç]])*24,(Tablo2[[#This Row],[Bitiş]]-Tablo2[[#This Row],[Başlangıç]])*24)))</f>
        <v>0</v>
      </c>
    </row>
    <row r="1792" spans="1:5" x14ac:dyDescent="0.3">
      <c r="A1792">
        <v>561</v>
      </c>
      <c r="B1792" t="s">
        <v>179</v>
      </c>
      <c r="C1792" s="1">
        <v>44624.625</v>
      </c>
      <c r="D1792" s="1">
        <v>44624.645833333336</v>
      </c>
      <c r="E179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93" spans="1:5" x14ac:dyDescent="0.3">
      <c r="A1793">
        <v>561</v>
      </c>
      <c r="B1793" t="s">
        <v>68</v>
      </c>
      <c r="C1793" s="1">
        <v>44631.375</v>
      </c>
      <c r="D1793" s="1">
        <v>44633</v>
      </c>
      <c r="E1793" s="17">
        <f>IF(Tablo2[[#This Row],[Başlangıç]]="","",(IF(Tablo2[[#This Row],[Bitiş]]="",($G$1-Tablo2[[#This Row],[Başlangıç]])*24,(Tablo2[[#This Row],[Bitiş]]-Tablo2[[#This Row],[Başlangıç]])*24)))</f>
        <v>39</v>
      </c>
    </row>
    <row r="1794" spans="1:5" x14ac:dyDescent="0.3">
      <c r="A1794">
        <v>561</v>
      </c>
      <c r="B1794" t="s">
        <v>37</v>
      </c>
      <c r="C1794" s="1">
        <v>44624.708333333336</v>
      </c>
      <c r="D1794" s="1">
        <v>44633</v>
      </c>
      <c r="E1794" s="17">
        <f>IF(Tablo2[[#This Row],[Başlangıç]]="","",(IF(Tablo2[[#This Row],[Bitiş]]="",($G$1-Tablo2[[#This Row],[Başlangıç]])*24,(Tablo2[[#This Row],[Bitiş]]-Tablo2[[#This Row],[Başlangıç]])*24)))</f>
        <v>198.99999999994179</v>
      </c>
    </row>
    <row r="1795" spans="1:5" x14ac:dyDescent="0.3">
      <c r="A1795">
        <v>561</v>
      </c>
      <c r="B1795" t="s">
        <v>65</v>
      </c>
      <c r="C1795" s="1">
        <v>44629.083333333336</v>
      </c>
      <c r="D1795" s="1">
        <v>44633</v>
      </c>
      <c r="E1795" s="17">
        <f>IF(Tablo2[[#This Row],[Başlangıç]]="","",(IF(Tablo2[[#This Row],[Bitiş]]="",($G$1-Tablo2[[#This Row],[Başlangıç]])*24,(Tablo2[[#This Row],[Bitiş]]-Tablo2[[#This Row],[Başlangıç]])*24)))</f>
        <v>93.999999999941792</v>
      </c>
    </row>
    <row r="1796" spans="1:5" x14ac:dyDescent="0.3">
      <c r="A1796">
        <v>562</v>
      </c>
      <c r="B1796" t="s">
        <v>36</v>
      </c>
      <c r="C1796" s="1">
        <v>44625.736111111109</v>
      </c>
      <c r="D1796" s="1">
        <v>44627.470138888886</v>
      </c>
      <c r="E1796" s="17">
        <f>IF(Tablo2[[#This Row],[Başlangıç]]="","",(IF(Tablo2[[#This Row],[Bitiş]]="",($G$1-Tablo2[[#This Row],[Başlangıç]])*24,(Tablo2[[#This Row],[Bitiş]]-Tablo2[[#This Row],[Başlangıç]])*24)))</f>
        <v>41.616666666639503</v>
      </c>
    </row>
    <row r="1797" spans="1:5" x14ac:dyDescent="0.3">
      <c r="A1797">
        <v>562</v>
      </c>
      <c r="B1797" t="s">
        <v>84</v>
      </c>
      <c r="C1797" s="1">
        <v>44631.6875</v>
      </c>
      <c r="D1797" s="1">
        <v>44634</v>
      </c>
      <c r="E1797" s="17">
        <f>IF(Tablo2[[#This Row],[Başlangıç]]="","",(IF(Tablo2[[#This Row],[Bitiş]]="",($G$1-Tablo2[[#This Row],[Başlangıç]])*24,(Tablo2[[#This Row],[Bitiş]]-Tablo2[[#This Row],[Başlangıç]])*24)))</f>
        <v>55.5</v>
      </c>
    </row>
    <row r="1798" spans="1:5" x14ac:dyDescent="0.3">
      <c r="A1798">
        <v>562</v>
      </c>
      <c r="B1798" t="s">
        <v>179</v>
      </c>
      <c r="C1798" s="1">
        <v>44625.291666666664</v>
      </c>
      <c r="D1798" s="1">
        <v>44625.3125</v>
      </c>
      <c r="E179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799" spans="1:5" x14ac:dyDescent="0.3">
      <c r="A1799">
        <v>562</v>
      </c>
      <c r="B1799" t="s">
        <v>68</v>
      </c>
      <c r="C1799" s="1">
        <v>44632.041666666664</v>
      </c>
      <c r="D1799" s="1">
        <v>44634</v>
      </c>
      <c r="E1799" s="17">
        <f>IF(Tablo2[[#This Row],[Başlangıç]]="","",(IF(Tablo2[[#This Row],[Bitiş]]="",($G$1-Tablo2[[#This Row],[Başlangıç]])*24,(Tablo2[[#This Row],[Bitiş]]-Tablo2[[#This Row],[Başlangıç]])*24)))</f>
        <v>47.000000000058208</v>
      </c>
    </row>
    <row r="1800" spans="1:5" x14ac:dyDescent="0.3">
      <c r="A1800">
        <v>562</v>
      </c>
      <c r="B1800" t="s">
        <v>37</v>
      </c>
      <c r="C1800" s="1">
        <v>44625.513888888891</v>
      </c>
      <c r="D1800" s="1">
        <v>44633</v>
      </c>
      <c r="E1800" s="17">
        <f>IF(Tablo2[[#This Row],[Başlangıç]]="","",(IF(Tablo2[[#This Row],[Bitiş]]="",($G$1-Tablo2[[#This Row],[Başlangıç]])*24,(Tablo2[[#This Row],[Bitiş]]-Tablo2[[#This Row],[Başlangıç]])*24)))</f>
        <v>179.66666666662786</v>
      </c>
    </row>
    <row r="1801" spans="1:5" x14ac:dyDescent="0.3">
      <c r="A1801">
        <v>562</v>
      </c>
      <c r="B1801" t="s">
        <v>65</v>
      </c>
      <c r="C1801" s="1">
        <v>44628.208333333336</v>
      </c>
      <c r="D1801" s="1">
        <v>44633</v>
      </c>
      <c r="E1801" s="17">
        <f>IF(Tablo2[[#This Row],[Başlangıç]]="","",(IF(Tablo2[[#This Row],[Bitiş]]="",($G$1-Tablo2[[#This Row],[Başlangıç]])*24,(Tablo2[[#This Row],[Bitiş]]-Tablo2[[#This Row],[Başlangıç]])*24)))</f>
        <v>114.99999999994179</v>
      </c>
    </row>
    <row r="1802" spans="1:5" x14ac:dyDescent="0.3">
      <c r="A1802">
        <v>563</v>
      </c>
      <c r="B1802" t="s">
        <v>36</v>
      </c>
      <c r="C1802" s="1">
        <v>44627.09375</v>
      </c>
      <c r="D1802" s="1">
        <v>44628.097222222219</v>
      </c>
      <c r="E1802" s="17">
        <f>IF(Tablo2[[#This Row],[Başlangıç]]="","",(IF(Tablo2[[#This Row],[Bitiş]]="",($G$1-Tablo2[[#This Row],[Başlangıç]])*24,(Tablo2[[#This Row],[Bitiş]]-Tablo2[[#This Row],[Başlangıç]])*24)))</f>
        <v>24.083333333255723</v>
      </c>
    </row>
    <row r="1803" spans="1:5" x14ac:dyDescent="0.3">
      <c r="A1803">
        <v>563</v>
      </c>
      <c r="B1803" t="s">
        <v>84</v>
      </c>
      <c r="C1803" s="1">
        <v>44632.138888888891</v>
      </c>
      <c r="D1803" s="1">
        <v>44638</v>
      </c>
      <c r="E1803" s="17">
        <f>IF(Tablo2[[#This Row],[Başlangıç]]="","",(IF(Tablo2[[#This Row],[Bitiş]]="",($G$1-Tablo2[[#This Row],[Başlangıç]])*24,(Tablo2[[#This Row],[Bitiş]]-Tablo2[[#This Row],[Başlangıç]])*24)))</f>
        <v>140.66666666662786</v>
      </c>
    </row>
    <row r="1804" spans="1:5" x14ac:dyDescent="0.3">
      <c r="A1804">
        <v>563</v>
      </c>
      <c r="B1804" t="s">
        <v>179</v>
      </c>
      <c r="C1804" s="1">
        <v>44625.666666666664</v>
      </c>
      <c r="D1804" s="1">
        <v>44625.6875</v>
      </c>
      <c r="E18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05" spans="1:5" x14ac:dyDescent="0.3">
      <c r="A1805">
        <v>563</v>
      </c>
      <c r="B1805" t="s">
        <v>68</v>
      </c>
      <c r="C1805" s="1">
        <v>44632.416666666664</v>
      </c>
      <c r="D1805" s="1">
        <v>44638</v>
      </c>
      <c r="E1805" s="17">
        <f>IF(Tablo2[[#This Row],[Başlangıç]]="","",(IF(Tablo2[[#This Row],[Bitiş]]="",($G$1-Tablo2[[#This Row],[Başlangıç]])*24,(Tablo2[[#This Row],[Bitiş]]-Tablo2[[#This Row],[Başlangıç]])*24)))</f>
        <v>134.00000000005821</v>
      </c>
    </row>
    <row r="1806" spans="1:5" x14ac:dyDescent="0.3">
      <c r="A1806">
        <v>563</v>
      </c>
      <c r="B1806" t="s">
        <v>37</v>
      </c>
      <c r="C1806" s="1">
        <v>44625.791666666664</v>
      </c>
      <c r="D1806" s="1">
        <v>44638</v>
      </c>
      <c r="E1806" s="17">
        <f>IF(Tablo2[[#This Row],[Başlangıç]]="","",(IF(Tablo2[[#This Row],[Bitiş]]="",($G$1-Tablo2[[#This Row],[Başlangıç]])*24,(Tablo2[[#This Row],[Bitiş]]-Tablo2[[#This Row],[Başlangıç]])*24)))</f>
        <v>293.00000000005821</v>
      </c>
    </row>
    <row r="1807" spans="1:5" x14ac:dyDescent="0.3">
      <c r="A1807">
        <v>563</v>
      </c>
      <c r="B1807" t="s">
        <v>65</v>
      </c>
      <c r="C1807" s="1">
        <v>44631.708333333336</v>
      </c>
      <c r="D1807" s="1">
        <v>44638</v>
      </c>
      <c r="E1807" s="17">
        <f>IF(Tablo2[[#This Row],[Başlangıç]]="","",(IF(Tablo2[[#This Row],[Bitiş]]="",($G$1-Tablo2[[#This Row],[Başlangıç]])*24,(Tablo2[[#This Row],[Bitiş]]-Tablo2[[#This Row],[Başlangıç]])*24)))</f>
        <v>150.99999999994179</v>
      </c>
    </row>
    <row r="1808" spans="1:5" x14ac:dyDescent="0.3">
      <c r="A1808">
        <v>564</v>
      </c>
      <c r="B1808" t="s">
        <v>36</v>
      </c>
      <c r="C1808" s="1">
        <v>44627.493055555555</v>
      </c>
      <c r="D1808" s="1">
        <v>44628.5</v>
      </c>
      <c r="E1808" s="17">
        <f>IF(Tablo2[[#This Row],[Başlangıç]]="","",(IF(Tablo2[[#This Row],[Bitiş]]="",($G$1-Tablo2[[#This Row],[Başlangıç]])*24,(Tablo2[[#This Row],[Bitiş]]-Tablo2[[#This Row],[Başlangıç]])*24)))</f>
        <v>24.166666666686069</v>
      </c>
    </row>
    <row r="1809" spans="1:5" x14ac:dyDescent="0.3">
      <c r="A1809">
        <v>564</v>
      </c>
      <c r="B1809" t="s">
        <v>84</v>
      </c>
      <c r="C1809" s="1">
        <v>44639</v>
      </c>
      <c r="D1809" s="1">
        <v>44639</v>
      </c>
      <c r="E1809" s="17">
        <f>IF(Tablo2[[#This Row],[Başlangıç]]="","",(IF(Tablo2[[#This Row],[Bitiş]]="",($G$1-Tablo2[[#This Row],[Başlangıç]])*24,(Tablo2[[#This Row],[Bitiş]]-Tablo2[[#This Row],[Başlangıç]])*24)))</f>
        <v>0</v>
      </c>
    </row>
    <row r="1810" spans="1:5" x14ac:dyDescent="0.3">
      <c r="A1810">
        <v>564</v>
      </c>
      <c r="B1810" t="s">
        <v>179</v>
      </c>
      <c r="C1810" s="1">
        <v>44627.194444444445</v>
      </c>
      <c r="D1810" s="1">
        <v>44627.215277777781</v>
      </c>
      <c r="E181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11" spans="1:5" x14ac:dyDescent="0.3">
      <c r="A1811">
        <v>564</v>
      </c>
      <c r="B1811" t="s">
        <v>68</v>
      </c>
      <c r="C1811" s="1">
        <v>44633.8125</v>
      </c>
      <c r="D1811" s="1">
        <v>44639</v>
      </c>
      <c r="E1811" s="17">
        <f>IF(Tablo2[[#This Row],[Başlangıç]]="","",(IF(Tablo2[[#This Row],[Bitiş]]="",($G$1-Tablo2[[#This Row],[Başlangıç]])*24,(Tablo2[[#This Row],[Bitiş]]-Tablo2[[#This Row],[Başlangıç]])*24)))</f>
        <v>124.5</v>
      </c>
    </row>
    <row r="1812" spans="1:5" x14ac:dyDescent="0.3">
      <c r="A1812">
        <v>564</v>
      </c>
      <c r="B1812" t="s">
        <v>37</v>
      </c>
      <c r="C1812" s="1">
        <v>44631.197916666664</v>
      </c>
      <c r="D1812" s="1">
        <v>44639</v>
      </c>
      <c r="E1812" s="17">
        <f>IF(Tablo2[[#This Row],[Başlangıç]]="","",(IF(Tablo2[[#This Row],[Bitiş]]="",($G$1-Tablo2[[#This Row],[Başlangıç]])*24,(Tablo2[[#This Row],[Bitiş]]-Tablo2[[#This Row],[Başlangıç]])*24)))</f>
        <v>187.25000000005821</v>
      </c>
    </row>
    <row r="1813" spans="1:5" x14ac:dyDescent="0.3">
      <c r="A1813">
        <v>564</v>
      </c>
      <c r="B1813" t="s">
        <v>65</v>
      </c>
      <c r="C1813" s="1">
        <v>44630</v>
      </c>
      <c r="D1813" s="1">
        <v>44639</v>
      </c>
      <c r="E1813" s="17">
        <f>IF(Tablo2[[#This Row],[Başlangıç]]="","",(IF(Tablo2[[#This Row],[Bitiş]]="",($G$1-Tablo2[[#This Row],[Başlangıç]])*24,(Tablo2[[#This Row],[Bitiş]]-Tablo2[[#This Row],[Başlangıç]])*24)))</f>
        <v>216</v>
      </c>
    </row>
    <row r="1814" spans="1:5" x14ac:dyDescent="0.3">
      <c r="A1814">
        <v>565</v>
      </c>
      <c r="B1814" t="s">
        <v>36</v>
      </c>
      <c r="C1814" s="1">
        <v>44627.8125</v>
      </c>
      <c r="D1814" s="1">
        <v>44629.5625</v>
      </c>
      <c r="E1814" s="17">
        <f>IF(Tablo2[[#This Row],[Başlangıç]]="","",(IF(Tablo2[[#This Row],[Bitiş]]="",($G$1-Tablo2[[#This Row],[Başlangıç]])*24,(Tablo2[[#This Row],[Bitiş]]-Tablo2[[#This Row],[Başlangıç]])*24)))</f>
        <v>42</v>
      </c>
    </row>
    <row r="1815" spans="1:5" x14ac:dyDescent="0.3">
      <c r="A1815">
        <v>565</v>
      </c>
      <c r="B1815" t="s">
        <v>84</v>
      </c>
      <c r="C1815" s="1">
        <v>44634.375</v>
      </c>
      <c r="D1815" s="1">
        <v>44639</v>
      </c>
      <c r="E1815" s="17">
        <f>IF(Tablo2[[#This Row],[Başlangıç]]="","",(IF(Tablo2[[#This Row],[Bitiş]]="",($G$1-Tablo2[[#This Row],[Başlangıç]])*24,(Tablo2[[#This Row],[Bitiş]]-Tablo2[[#This Row],[Başlangıç]])*24)))</f>
        <v>111</v>
      </c>
    </row>
    <row r="1816" spans="1:5" x14ac:dyDescent="0.3">
      <c r="A1816">
        <v>565</v>
      </c>
      <c r="B1816" t="s">
        <v>179</v>
      </c>
      <c r="C1816" s="1">
        <v>44627.8125</v>
      </c>
      <c r="D1816" s="1">
        <v>44627.833333333336</v>
      </c>
      <c r="E181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17" spans="1:5" x14ac:dyDescent="0.3">
      <c r="A1817">
        <v>565</v>
      </c>
      <c r="B1817" t="s">
        <v>68</v>
      </c>
      <c r="C1817" s="1">
        <v>44633.708333333336</v>
      </c>
      <c r="D1817" s="1">
        <v>44639</v>
      </c>
      <c r="E1817" s="17">
        <f>IF(Tablo2[[#This Row],[Başlangıç]]="","",(IF(Tablo2[[#This Row],[Bitiş]]="",($G$1-Tablo2[[#This Row],[Başlangıç]])*24,(Tablo2[[#This Row],[Bitiş]]-Tablo2[[#This Row],[Başlangıç]])*24)))</f>
        <v>126.99999999994179</v>
      </c>
    </row>
    <row r="1818" spans="1:5" x14ac:dyDescent="0.3">
      <c r="A1818">
        <v>565</v>
      </c>
      <c r="B1818" t="s">
        <v>37</v>
      </c>
      <c r="C1818" s="1">
        <v>44630.21875</v>
      </c>
      <c r="D1818" s="1">
        <v>44634.069444444445</v>
      </c>
      <c r="E1818" s="17">
        <f>IF(Tablo2[[#This Row],[Başlangıç]]="","",(IF(Tablo2[[#This Row],[Bitiş]]="",($G$1-Tablo2[[#This Row],[Başlangıç]])*24,(Tablo2[[#This Row],[Bitiş]]-Tablo2[[#This Row],[Başlangıç]])*24)))</f>
        <v>92.416666666686069</v>
      </c>
    </row>
    <row r="1819" spans="1:5" x14ac:dyDescent="0.3">
      <c r="A1819">
        <v>565</v>
      </c>
      <c r="B1819" t="s">
        <v>65</v>
      </c>
      <c r="C1819" s="1">
        <v>44630.75</v>
      </c>
      <c r="D1819" s="1">
        <v>44634.208333333336</v>
      </c>
      <c r="E1819" s="17">
        <f>IF(Tablo2[[#This Row],[Başlangıç]]="","",(IF(Tablo2[[#This Row],[Bitiş]]="",($G$1-Tablo2[[#This Row],[Başlangıç]])*24,(Tablo2[[#This Row],[Bitiş]]-Tablo2[[#This Row],[Başlangıç]])*24)))</f>
        <v>83.000000000058208</v>
      </c>
    </row>
    <row r="1820" spans="1:5" x14ac:dyDescent="0.3">
      <c r="A1820">
        <v>566</v>
      </c>
      <c r="B1820" t="s">
        <v>36</v>
      </c>
      <c r="C1820" s="1">
        <v>44628.509027777778</v>
      </c>
      <c r="D1820" s="1">
        <v>44630.120833333334</v>
      </c>
      <c r="E1820" s="17">
        <f>IF(Tablo2[[#This Row],[Başlangıç]]="","",(IF(Tablo2[[#This Row],[Bitiş]]="",($G$1-Tablo2[[#This Row],[Başlangıç]])*24,(Tablo2[[#This Row],[Bitiş]]-Tablo2[[#This Row],[Başlangıç]])*24)))</f>
        <v>38.683333333348855</v>
      </c>
    </row>
    <row r="1821" spans="1:5" x14ac:dyDescent="0.3">
      <c r="A1821">
        <v>566</v>
      </c>
      <c r="B1821" t="s">
        <v>84</v>
      </c>
      <c r="C1821" s="1"/>
      <c r="D1821" s="1"/>
      <c r="E1821" s="17" t="str">
        <f>IF(Tablo2[[#This Row],[Başlangıç]]="","",(IF(Tablo2[[#This Row],[Bitiş]]="",($G$1-Tablo2[[#This Row],[Başlangıç]])*24,(Tablo2[[#This Row],[Bitiş]]-Tablo2[[#This Row],[Başlangıç]])*24)))</f>
        <v/>
      </c>
    </row>
    <row r="1822" spans="1:5" x14ac:dyDescent="0.3">
      <c r="A1822">
        <v>566</v>
      </c>
      <c r="B1822" t="s">
        <v>179</v>
      </c>
      <c r="C1822" s="1">
        <v>44628.208333333336</v>
      </c>
      <c r="D1822" s="1">
        <v>44628.229166666664</v>
      </c>
      <c r="E182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23" spans="1:5" x14ac:dyDescent="0.3">
      <c r="A1823">
        <v>566</v>
      </c>
      <c r="B1823" t="s">
        <v>68</v>
      </c>
      <c r="C1823" s="1"/>
      <c r="D1823" s="1"/>
      <c r="E1823" s="17" t="str">
        <f>IF(Tablo2[[#This Row],[Başlangıç]]="","",(IF(Tablo2[[#This Row],[Bitiş]]="",($G$1-Tablo2[[#This Row],[Başlangıç]])*24,(Tablo2[[#This Row],[Bitiş]]-Tablo2[[#This Row],[Başlangıç]])*24)))</f>
        <v/>
      </c>
    </row>
    <row r="1824" spans="1:5" x14ac:dyDescent="0.3">
      <c r="A1824">
        <v>566</v>
      </c>
      <c r="B1824" t="s">
        <v>37</v>
      </c>
      <c r="C1824" s="1">
        <v>44664.090277777781</v>
      </c>
      <c r="D1824" s="1">
        <v>44664.934027777781</v>
      </c>
      <c r="E1824" s="17">
        <f>IF(Tablo2[[#This Row],[Başlangıç]]="","",(IF(Tablo2[[#This Row],[Bitiş]]="",($G$1-Tablo2[[#This Row],[Başlangıç]])*24,(Tablo2[[#This Row],[Bitiş]]-Tablo2[[#This Row],[Başlangıç]])*24)))</f>
        <v>20.25</v>
      </c>
    </row>
    <row r="1825" spans="1:5" x14ac:dyDescent="0.3">
      <c r="A1825">
        <v>566</v>
      </c>
      <c r="B1825" t="s">
        <v>65</v>
      </c>
      <c r="C1825" s="1"/>
      <c r="D1825" s="1"/>
      <c r="E1825" s="17" t="str">
        <f>IF(Tablo2[[#This Row],[Başlangıç]]="","",(IF(Tablo2[[#This Row],[Bitiş]]="",($G$1-Tablo2[[#This Row],[Başlangıç]])*24,(Tablo2[[#This Row],[Bitiş]]-Tablo2[[#This Row],[Başlangıç]])*24)))</f>
        <v/>
      </c>
    </row>
    <row r="1826" spans="1:5" x14ac:dyDescent="0.3">
      <c r="A1826">
        <v>567</v>
      </c>
      <c r="B1826" t="s">
        <v>36</v>
      </c>
      <c r="C1826" s="1">
        <v>44629.552083333336</v>
      </c>
      <c r="D1826" s="1">
        <v>44630.756944444445</v>
      </c>
      <c r="E1826" s="17">
        <f>IF(Tablo2[[#This Row],[Başlangıç]]="","",(IF(Tablo2[[#This Row],[Bitiş]]="",($G$1-Tablo2[[#This Row],[Başlangıç]])*24,(Tablo2[[#This Row],[Bitiş]]-Tablo2[[#This Row],[Başlangıç]])*24)))</f>
        <v>28.916666666627862</v>
      </c>
    </row>
    <row r="1827" spans="1:5" x14ac:dyDescent="0.3">
      <c r="A1827">
        <v>567</v>
      </c>
      <c r="B1827" t="s">
        <v>84</v>
      </c>
      <c r="C1827" s="1">
        <v>44639.291666666664</v>
      </c>
      <c r="D1827" s="1">
        <v>44640</v>
      </c>
      <c r="E1827" s="17">
        <f>IF(Tablo2[[#This Row],[Başlangıç]]="","",(IF(Tablo2[[#This Row],[Bitiş]]="",($G$1-Tablo2[[#This Row],[Başlangıç]])*24,(Tablo2[[#This Row],[Bitiş]]-Tablo2[[#This Row],[Başlangıç]])*24)))</f>
        <v>17.000000000058208</v>
      </c>
    </row>
    <row r="1828" spans="1:5" x14ac:dyDescent="0.3">
      <c r="A1828">
        <v>567</v>
      </c>
      <c r="B1828" t="s">
        <v>179</v>
      </c>
      <c r="C1828" s="1">
        <v>44628.354166666664</v>
      </c>
      <c r="D1828" s="1">
        <v>44628.375</v>
      </c>
      <c r="E18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29" spans="1:5" x14ac:dyDescent="0.3">
      <c r="A1829">
        <v>567</v>
      </c>
      <c r="B1829" t="s">
        <v>68</v>
      </c>
      <c r="C1829" s="1">
        <v>44639.53125</v>
      </c>
      <c r="D1829" s="1">
        <v>44640.961805555555</v>
      </c>
      <c r="E1829" s="17">
        <f>IF(Tablo2[[#This Row],[Başlangıç]]="","",(IF(Tablo2[[#This Row],[Bitiş]]="",($G$1-Tablo2[[#This Row],[Başlangıç]])*24,(Tablo2[[#This Row],[Bitiş]]-Tablo2[[#This Row],[Başlangıç]])*24)))</f>
        <v>34.333333333313931</v>
      </c>
    </row>
    <row r="1830" spans="1:5" x14ac:dyDescent="0.3">
      <c r="A1830">
        <v>567</v>
      </c>
      <c r="B1830" t="s">
        <v>37</v>
      </c>
      <c r="C1830" s="1">
        <v>44628.625</v>
      </c>
      <c r="D1830" s="1">
        <v>44640.659722222219</v>
      </c>
      <c r="E1830" s="17">
        <f>IF(Tablo2[[#This Row],[Başlangıç]]="","",(IF(Tablo2[[#This Row],[Bitiş]]="",($G$1-Tablo2[[#This Row],[Başlangıç]])*24,(Tablo2[[#This Row],[Bitiş]]-Tablo2[[#This Row],[Başlangıç]])*24)))</f>
        <v>288.83333333325572</v>
      </c>
    </row>
    <row r="1831" spans="1:5" x14ac:dyDescent="0.3">
      <c r="A1831">
        <v>567</v>
      </c>
      <c r="B1831" t="s">
        <v>65</v>
      </c>
      <c r="C1831" s="1">
        <v>44637.583333333336</v>
      </c>
      <c r="D1831" s="1">
        <v>44640.416666666664</v>
      </c>
      <c r="E1831" s="17">
        <f>IF(Tablo2[[#This Row],[Başlangıç]]="","",(IF(Tablo2[[#This Row],[Bitiş]]="",($G$1-Tablo2[[#This Row],[Başlangıç]])*24,(Tablo2[[#This Row],[Bitiş]]-Tablo2[[#This Row],[Başlangıç]])*24)))</f>
        <v>67.999999999883585</v>
      </c>
    </row>
    <row r="1832" spans="1:5" x14ac:dyDescent="0.3">
      <c r="A1832">
        <v>568</v>
      </c>
      <c r="B1832" t="s">
        <v>36</v>
      </c>
      <c r="C1832" s="1">
        <v>44629.916666666664</v>
      </c>
      <c r="D1832" s="1">
        <v>44631.430555555555</v>
      </c>
      <c r="E1832" s="17">
        <f>IF(Tablo2[[#This Row],[Başlangıç]]="","",(IF(Tablo2[[#This Row],[Bitiş]]="",($G$1-Tablo2[[#This Row],[Başlangıç]])*24,(Tablo2[[#This Row],[Bitiş]]-Tablo2[[#This Row],[Başlangıç]])*24)))</f>
        <v>36.333333333372138</v>
      </c>
    </row>
    <row r="1833" spans="1:5" x14ac:dyDescent="0.3">
      <c r="A1833">
        <v>568</v>
      </c>
      <c r="B1833" t="s">
        <v>84</v>
      </c>
      <c r="C1833" s="1">
        <v>44634.125</v>
      </c>
      <c r="D1833" s="1">
        <v>44639</v>
      </c>
      <c r="E1833" s="17">
        <f>IF(Tablo2[[#This Row],[Başlangıç]]="","",(IF(Tablo2[[#This Row],[Bitiş]]="",($G$1-Tablo2[[#This Row],[Başlangıç]])*24,(Tablo2[[#This Row],[Bitiş]]-Tablo2[[#This Row],[Başlangıç]])*24)))</f>
        <v>117</v>
      </c>
    </row>
    <row r="1834" spans="1:5" x14ac:dyDescent="0.3">
      <c r="A1834">
        <v>568</v>
      </c>
      <c r="B1834" t="s">
        <v>179</v>
      </c>
      <c r="C1834" s="1">
        <v>44629.041666666664</v>
      </c>
      <c r="D1834" s="1">
        <v>44629.0625</v>
      </c>
      <c r="E18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35" spans="1:5" x14ac:dyDescent="0.3">
      <c r="A1835">
        <v>568</v>
      </c>
      <c r="B1835" t="s">
        <v>68</v>
      </c>
      <c r="C1835" s="1">
        <v>44634.041666666664</v>
      </c>
      <c r="D1835" s="1">
        <v>44639</v>
      </c>
      <c r="E1835" s="17">
        <f>IF(Tablo2[[#This Row],[Başlangıç]]="","",(IF(Tablo2[[#This Row],[Bitiş]]="",($G$1-Tablo2[[#This Row],[Başlangıç]])*24,(Tablo2[[#This Row],[Bitiş]]-Tablo2[[#This Row],[Başlangıç]])*24)))</f>
        <v>119.00000000005821</v>
      </c>
    </row>
    <row r="1836" spans="1:5" x14ac:dyDescent="0.3">
      <c r="A1836">
        <v>568</v>
      </c>
      <c r="B1836" t="s">
        <v>37</v>
      </c>
      <c r="C1836" s="1">
        <v>44631.722222222219</v>
      </c>
      <c r="D1836" s="1">
        <v>44639</v>
      </c>
      <c r="E1836" s="17">
        <f>IF(Tablo2[[#This Row],[Başlangıç]]="","",(IF(Tablo2[[#This Row],[Bitiş]]="",($G$1-Tablo2[[#This Row],[Başlangıç]])*24,(Tablo2[[#This Row],[Bitiş]]-Tablo2[[#This Row],[Başlangıç]])*24)))</f>
        <v>174.66666666674428</v>
      </c>
    </row>
    <row r="1837" spans="1:5" x14ac:dyDescent="0.3">
      <c r="A1837">
        <v>568</v>
      </c>
      <c r="B1837" t="s">
        <v>65</v>
      </c>
      <c r="C1837" s="1">
        <v>44632.6875</v>
      </c>
      <c r="D1837" s="1">
        <v>44639</v>
      </c>
      <c r="E1837" s="17">
        <f>IF(Tablo2[[#This Row],[Başlangıç]]="","",(IF(Tablo2[[#This Row],[Bitiş]]="",($G$1-Tablo2[[#This Row],[Başlangıç]])*24,(Tablo2[[#This Row],[Bitiş]]-Tablo2[[#This Row],[Başlangıç]])*24)))</f>
        <v>151.5</v>
      </c>
    </row>
    <row r="1838" spans="1:5" x14ac:dyDescent="0.3">
      <c r="A1838">
        <v>569</v>
      </c>
      <c r="B1838" t="s">
        <v>36</v>
      </c>
      <c r="C1838" s="1">
        <v>44630.677083333336</v>
      </c>
      <c r="D1838" s="1">
        <v>44638.631944444445</v>
      </c>
      <c r="E1838" s="17">
        <f>IF(Tablo2[[#This Row],[Başlangıç]]="","",(IF(Tablo2[[#This Row],[Bitiş]]="",($G$1-Tablo2[[#This Row],[Başlangıç]])*24,(Tablo2[[#This Row],[Bitiş]]-Tablo2[[#This Row],[Başlangıç]])*24)))</f>
        <v>190.91666666662786</v>
      </c>
    </row>
    <row r="1839" spans="1:5" x14ac:dyDescent="0.3">
      <c r="A1839">
        <v>569</v>
      </c>
      <c r="B1839" t="s">
        <v>84</v>
      </c>
      <c r="C1839" s="1">
        <v>44636.34375</v>
      </c>
      <c r="D1839" s="1">
        <v>44639</v>
      </c>
      <c r="E1839" s="17">
        <f>IF(Tablo2[[#This Row],[Başlangıç]]="","",(IF(Tablo2[[#This Row],[Bitiş]]="",($G$1-Tablo2[[#This Row],[Başlangıç]])*24,(Tablo2[[#This Row],[Bitiş]]-Tablo2[[#This Row],[Başlangıç]])*24)))</f>
        <v>63.75</v>
      </c>
    </row>
    <row r="1840" spans="1:5" x14ac:dyDescent="0.3">
      <c r="A1840">
        <v>569</v>
      </c>
      <c r="B1840" t="s">
        <v>179</v>
      </c>
      <c r="C1840" s="1">
        <v>44629.166666666664</v>
      </c>
      <c r="D1840" s="1">
        <v>44629.1875</v>
      </c>
      <c r="E184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41" spans="1:5" x14ac:dyDescent="0.3">
      <c r="A1841">
        <v>569</v>
      </c>
      <c r="B1841" t="s">
        <v>68</v>
      </c>
      <c r="C1841" s="1">
        <v>44637.347222222219</v>
      </c>
      <c r="D1841" s="1">
        <v>44638.561111111114</v>
      </c>
      <c r="E1841" s="17">
        <f>IF(Tablo2[[#This Row],[Başlangıç]]="","",(IF(Tablo2[[#This Row],[Bitiş]]="",($G$1-Tablo2[[#This Row],[Başlangıç]])*24,(Tablo2[[#This Row],[Bitiş]]-Tablo2[[#This Row],[Başlangıç]])*24)))</f>
        <v>29.133333333476912</v>
      </c>
    </row>
    <row r="1842" spans="1:5" x14ac:dyDescent="0.3">
      <c r="A1842">
        <v>569</v>
      </c>
      <c r="B1842" t="s">
        <v>37</v>
      </c>
      <c r="C1842" s="1">
        <v>44629.833333333336</v>
      </c>
      <c r="D1842" s="1">
        <v>44639</v>
      </c>
      <c r="E1842" s="17">
        <f>IF(Tablo2[[#This Row],[Başlangıç]]="","",(IF(Tablo2[[#This Row],[Bitiş]]="",($G$1-Tablo2[[#This Row],[Başlangıç]])*24,(Tablo2[[#This Row],[Bitiş]]-Tablo2[[#This Row],[Başlangıç]])*24)))</f>
        <v>219.99999999994179</v>
      </c>
    </row>
    <row r="1843" spans="1:5" x14ac:dyDescent="0.3">
      <c r="A1843">
        <v>569</v>
      </c>
      <c r="B1843" t="s">
        <v>65</v>
      </c>
      <c r="C1843" s="1">
        <v>44633.677083333336</v>
      </c>
      <c r="D1843" s="1">
        <v>44639</v>
      </c>
      <c r="E1843" s="17">
        <f>IF(Tablo2[[#This Row],[Başlangıç]]="","",(IF(Tablo2[[#This Row],[Bitiş]]="",($G$1-Tablo2[[#This Row],[Başlangıç]])*24,(Tablo2[[#This Row],[Bitiş]]-Tablo2[[#This Row],[Başlangıç]])*24)))</f>
        <v>127.74999999994179</v>
      </c>
    </row>
    <row r="1844" spans="1:5" x14ac:dyDescent="0.3">
      <c r="A1844">
        <v>570</v>
      </c>
      <c r="B1844" t="s">
        <v>36</v>
      </c>
      <c r="C1844" s="1">
        <v>44631.351388888892</v>
      </c>
      <c r="D1844" s="1">
        <v>44639</v>
      </c>
      <c r="E1844" s="17">
        <f>IF(Tablo2[[#This Row],[Başlangıç]]="","",(IF(Tablo2[[#This Row],[Bitiş]]="",($G$1-Tablo2[[#This Row],[Başlangıç]])*24,(Tablo2[[#This Row],[Bitiş]]-Tablo2[[#This Row],[Başlangıç]])*24)))</f>
        <v>183.56666666659294</v>
      </c>
    </row>
    <row r="1845" spans="1:5" x14ac:dyDescent="0.3">
      <c r="A1845">
        <v>570</v>
      </c>
      <c r="B1845" t="s">
        <v>84</v>
      </c>
      <c r="C1845" s="1">
        <v>44635.708333333336</v>
      </c>
      <c r="D1845" s="1">
        <v>44639</v>
      </c>
      <c r="E1845" s="17">
        <f>IF(Tablo2[[#This Row],[Başlangıç]]="","",(IF(Tablo2[[#This Row],[Bitiş]]="",($G$1-Tablo2[[#This Row],[Başlangıç]])*24,(Tablo2[[#This Row],[Bitiş]]-Tablo2[[#This Row],[Başlangıç]])*24)))</f>
        <v>78.999999999941792</v>
      </c>
    </row>
    <row r="1846" spans="1:5" x14ac:dyDescent="0.3">
      <c r="A1846">
        <v>570</v>
      </c>
      <c r="B1846" t="s">
        <v>179</v>
      </c>
      <c r="C1846" s="1">
        <v>44630.333333333336</v>
      </c>
      <c r="D1846" s="1">
        <v>44630.354166666664</v>
      </c>
      <c r="E184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47" spans="1:5" x14ac:dyDescent="0.3">
      <c r="A1847">
        <v>570</v>
      </c>
      <c r="B1847" t="s">
        <v>68</v>
      </c>
      <c r="C1847" s="1">
        <v>44636.347222222219</v>
      </c>
      <c r="D1847" s="1">
        <v>44639</v>
      </c>
      <c r="E1847" s="17">
        <f>IF(Tablo2[[#This Row],[Başlangıç]]="","",(IF(Tablo2[[#This Row],[Bitiş]]="",($G$1-Tablo2[[#This Row],[Başlangıç]])*24,(Tablo2[[#This Row],[Bitiş]]-Tablo2[[#This Row],[Başlangıç]])*24)))</f>
        <v>63.666666666744277</v>
      </c>
    </row>
    <row r="1848" spans="1:5" x14ac:dyDescent="0.3">
      <c r="A1848">
        <v>570</v>
      </c>
      <c r="B1848" t="s">
        <v>37</v>
      </c>
      <c r="C1848" s="1">
        <v>44630.458333333336</v>
      </c>
      <c r="D1848" s="1">
        <v>44639</v>
      </c>
      <c r="E1848" s="17">
        <f>IF(Tablo2[[#This Row],[Başlangıç]]="","",(IF(Tablo2[[#This Row],[Bitiş]]="",($G$1-Tablo2[[#This Row],[Başlangıç]])*24,(Tablo2[[#This Row],[Bitiş]]-Tablo2[[#This Row],[Başlangıç]])*24)))</f>
        <v>204.99999999994179</v>
      </c>
    </row>
    <row r="1849" spans="1:5" x14ac:dyDescent="0.3">
      <c r="A1849">
        <v>570</v>
      </c>
      <c r="B1849" t="s">
        <v>65</v>
      </c>
      <c r="C1849" s="1">
        <v>44634.256944444445</v>
      </c>
      <c r="D1849" s="1">
        <v>44639</v>
      </c>
      <c r="E1849" s="17">
        <f>IF(Tablo2[[#This Row],[Başlangıç]]="","",(IF(Tablo2[[#This Row],[Bitiş]]="",($G$1-Tablo2[[#This Row],[Başlangıç]])*24,(Tablo2[[#This Row],[Bitiş]]-Tablo2[[#This Row],[Başlangıç]])*24)))</f>
        <v>113.83333333331393</v>
      </c>
    </row>
    <row r="1850" spans="1:5" x14ac:dyDescent="0.3">
      <c r="A1850">
        <v>571</v>
      </c>
      <c r="B1850" t="s">
        <v>36</v>
      </c>
      <c r="C1850" s="1">
        <v>44631.767361111109</v>
      </c>
      <c r="D1850" s="1">
        <v>44632.798611111109</v>
      </c>
      <c r="E1850" s="17">
        <f>IF(Tablo2[[#This Row],[Başlangıç]]="","",(IF(Tablo2[[#This Row],[Bitiş]]="",($G$1-Tablo2[[#This Row],[Başlangıç]])*24,(Tablo2[[#This Row],[Bitiş]]-Tablo2[[#This Row],[Başlangıç]])*24)))</f>
        <v>24.75</v>
      </c>
    </row>
    <row r="1851" spans="1:5" x14ac:dyDescent="0.3">
      <c r="A1851">
        <v>571</v>
      </c>
      <c r="B1851" t="s">
        <v>84</v>
      </c>
      <c r="C1851" s="1">
        <v>44637.347222222219</v>
      </c>
      <c r="D1851" s="1">
        <v>44640.416666666664</v>
      </c>
      <c r="E1851" s="17">
        <f>IF(Tablo2[[#This Row],[Başlangıç]]="","",(IF(Tablo2[[#This Row],[Bitiş]]="",($G$1-Tablo2[[#This Row],[Başlangıç]])*24,(Tablo2[[#This Row],[Bitiş]]-Tablo2[[#This Row],[Başlangıç]])*24)))</f>
        <v>73.666666666686069</v>
      </c>
    </row>
    <row r="1852" spans="1:5" x14ac:dyDescent="0.3">
      <c r="A1852">
        <v>571</v>
      </c>
      <c r="B1852" t="s">
        <v>179</v>
      </c>
      <c r="C1852" s="1">
        <v>44631.222222222219</v>
      </c>
      <c r="D1852" s="1">
        <v>44631.243055555555</v>
      </c>
      <c r="E185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53" spans="1:5" x14ac:dyDescent="0.3">
      <c r="A1853">
        <v>571</v>
      </c>
      <c r="B1853" t="s">
        <v>68</v>
      </c>
      <c r="C1853" s="1">
        <v>44637.753472222219</v>
      </c>
      <c r="D1853" s="1">
        <v>44640.416666666664</v>
      </c>
      <c r="E1853" s="17">
        <f>IF(Tablo2[[#This Row],[Başlangıç]]="","",(IF(Tablo2[[#This Row],[Bitiş]]="",($G$1-Tablo2[[#This Row],[Başlangıç]])*24,(Tablo2[[#This Row],[Bitiş]]-Tablo2[[#This Row],[Başlangıç]])*24)))</f>
        <v>63.916666666686069</v>
      </c>
    </row>
    <row r="1854" spans="1:5" x14ac:dyDescent="0.3">
      <c r="A1854">
        <v>571</v>
      </c>
      <c r="B1854" t="s">
        <v>37</v>
      </c>
      <c r="C1854" s="1">
        <v>44633.631944444445</v>
      </c>
      <c r="D1854" s="1">
        <v>44640.416666666664</v>
      </c>
      <c r="E1854" s="17">
        <f>IF(Tablo2[[#This Row],[Başlangıç]]="","",(IF(Tablo2[[#This Row],[Bitiş]]="",($G$1-Tablo2[[#This Row],[Başlangıç]])*24,(Tablo2[[#This Row],[Bitiş]]-Tablo2[[#This Row],[Başlangıç]])*24)))</f>
        <v>162.83333333325572</v>
      </c>
    </row>
    <row r="1855" spans="1:5" x14ac:dyDescent="0.3">
      <c r="A1855">
        <v>571</v>
      </c>
      <c r="B1855" t="s">
        <v>65</v>
      </c>
      <c r="C1855" s="1">
        <v>44635.708333333336</v>
      </c>
      <c r="D1855" s="1">
        <v>44640.416666666664</v>
      </c>
      <c r="E1855" s="17">
        <f>IF(Tablo2[[#This Row],[Başlangıç]]="","",(IF(Tablo2[[#This Row],[Bitiş]]="",($G$1-Tablo2[[#This Row],[Başlangıç]])*24,(Tablo2[[#This Row],[Bitiş]]-Tablo2[[#This Row],[Başlangıç]])*24)))</f>
        <v>112.99999999988358</v>
      </c>
    </row>
    <row r="1856" spans="1:5" x14ac:dyDescent="0.3">
      <c r="A1856">
        <v>572</v>
      </c>
      <c r="B1856" t="s">
        <v>36</v>
      </c>
      <c r="C1856" s="1">
        <v>44632.333333333336</v>
      </c>
      <c r="D1856" s="1">
        <v>44666</v>
      </c>
      <c r="E1856" s="17">
        <f>IF(Tablo2[[#This Row],[Başlangıç]]="","",(IF(Tablo2[[#This Row],[Bitiş]]="",($G$1-Tablo2[[#This Row],[Başlangıç]])*24,(Tablo2[[#This Row],[Bitiş]]-Tablo2[[#This Row],[Başlangıç]])*24)))</f>
        <v>807.99999999994179</v>
      </c>
    </row>
    <row r="1857" spans="1:5" x14ac:dyDescent="0.3">
      <c r="A1857">
        <v>572</v>
      </c>
      <c r="B1857" t="s">
        <v>84</v>
      </c>
      <c r="C1857" s="1">
        <v>44662.777777777781</v>
      </c>
      <c r="D1857" s="1">
        <v>44666</v>
      </c>
      <c r="E1857" s="17">
        <f>IF(Tablo2[[#This Row],[Başlangıç]]="","",(IF(Tablo2[[#This Row],[Bitiş]]="",($G$1-Tablo2[[#This Row],[Başlangıç]])*24,(Tablo2[[#This Row],[Bitiş]]-Tablo2[[#This Row],[Başlangıç]])*24)))</f>
        <v>77.333333333255723</v>
      </c>
    </row>
    <row r="1858" spans="1:5" x14ac:dyDescent="0.3">
      <c r="A1858">
        <v>572</v>
      </c>
      <c r="B1858" t="s">
        <v>179</v>
      </c>
      <c r="C1858" s="1">
        <v>44632.333333333336</v>
      </c>
      <c r="D1858" s="1">
        <v>44632.354166666664</v>
      </c>
      <c r="E18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59" spans="1:5" x14ac:dyDescent="0.3">
      <c r="A1859">
        <v>572</v>
      </c>
      <c r="B1859" t="s">
        <v>68</v>
      </c>
      <c r="C1859" s="1">
        <v>44606.229166666664</v>
      </c>
      <c r="D1859" s="1">
        <v>44666.291666666664</v>
      </c>
      <c r="E1859" s="17">
        <f>IF(Tablo2[[#This Row],[Başlangıç]]="","",(IF(Tablo2[[#This Row],[Bitiş]]="",($G$1-Tablo2[[#This Row],[Başlangıç]])*24,(Tablo2[[#This Row],[Bitiş]]-Tablo2[[#This Row],[Başlangıç]])*24)))</f>
        <v>1441.5</v>
      </c>
    </row>
    <row r="1860" spans="1:5" x14ac:dyDescent="0.3">
      <c r="A1860">
        <v>572</v>
      </c>
      <c r="B1860" t="s">
        <v>37</v>
      </c>
      <c r="C1860" s="1">
        <v>44655.697916666664</v>
      </c>
      <c r="D1860" s="1">
        <v>44666</v>
      </c>
      <c r="E1860" s="17">
        <f>IF(Tablo2[[#This Row],[Başlangıç]]="","",(IF(Tablo2[[#This Row],[Bitiş]]="",($G$1-Tablo2[[#This Row],[Başlangıç]])*24,(Tablo2[[#This Row],[Bitiş]]-Tablo2[[#This Row],[Başlangıç]])*24)))</f>
        <v>247.25000000005821</v>
      </c>
    </row>
    <row r="1861" spans="1:5" x14ac:dyDescent="0.3">
      <c r="A1861">
        <v>572</v>
      </c>
      <c r="B1861" t="s">
        <v>65</v>
      </c>
      <c r="C1861" s="1">
        <v>44662.356944444444</v>
      </c>
      <c r="D1861" s="1">
        <v>44666</v>
      </c>
      <c r="E1861" s="17">
        <f>IF(Tablo2[[#This Row],[Başlangıç]]="","",(IF(Tablo2[[#This Row],[Bitiş]]="",($G$1-Tablo2[[#This Row],[Başlangıç]])*24,(Tablo2[[#This Row],[Bitiş]]-Tablo2[[#This Row],[Başlangıç]])*24)))</f>
        <v>87.433333333348855</v>
      </c>
    </row>
    <row r="1862" spans="1:5" x14ac:dyDescent="0.3">
      <c r="A1862">
        <v>573</v>
      </c>
      <c r="B1862" t="s">
        <v>36</v>
      </c>
      <c r="C1862" s="1">
        <v>44632.972222222219</v>
      </c>
      <c r="D1862" s="1">
        <v>44634.861111111109</v>
      </c>
      <c r="E1862" s="17">
        <f>IF(Tablo2[[#This Row],[Başlangıç]]="","",(IF(Tablo2[[#This Row],[Bitiş]]="",($G$1-Tablo2[[#This Row],[Başlangıç]])*24,(Tablo2[[#This Row],[Bitiş]]-Tablo2[[#This Row],[Başlangıç]])*24)))</f>
        <v>45.333333333372138</v>
      </c>
    </row>
    <row r="1863" spans="1:5" x14ac:dyDescent="0.3">
      <c r="A1863">
        <v>573</v>
      </c>
      <c r="B1863" t="s">
        <v>84</v>
      </c>
      <c r="C1863" s="1">
        <v>44640.395833333336</v>
      </c>
      <c r="D1863" s="1">
        <v>44641.625</v>
      </c>
      <c r="E1863" s="17">
        <f>IF(Tablo2[[#This Row],[Başlangıç]]="","",(IF(Tablo2[[#This Row],[Bitiş]]="",($G$1-Tablo2[[#This Row],[Başlangıç]])*24,(Tablo2[[#This Row],[Bitiş]]-Tablo2[[#This Row],[Başlangıç]])*24)))</f>
        <v>29.499999999941792</v>
      </c>
    </row>
    <row r="1864" spans="1:5" x14ac:dyDescent="0.3">
      <c r="A1864">
        <v>573</v>
      </c>
      <c r="B1864" t="s">
        <v>179</v>
      </c>
      <c r="C1864" s="1">
        <v>44632.113194444442</v>
      </c>
      <c r="D1864" s="1">
        <v>44632.134027777778</v>
      </c>
      <c r="E18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65" spans="1:5" x14ac:dyDescent="0.3">
      <c r="A1865">
        <v>573</v>
      </c>
      <c r="B1865" t="s">
        <v>68</v>
      </c>
      <c r="C1865" s="1">
        <v>44639.378472222219</v>
      </c>
      <c r="D1865" s="1">
        <v>44643.375</v>
      </c>
      <c r="E1865" s="17">
        <f>IF(Tablo2[[#This Row],[Başlangıç]]="","",(IF(Tablo2[[#This Row],[Bitiş]]="",($G$1-Tablo2[[#This Row],[Başlangıç]])*24,(Tablo2[[#This Row],[Bitiş]]-Tablo2[[#This Row],[Başlangıç]])*24)))</f>
        <v>95.916666666744277</v>
      </c>
    </row>
    <row r="1866" spans="1:5" x14ac:dyDescent="0.3">
      <c r="A1866">
        <v>573</v>
      </c>
      <c r="B1866" t="s">
        <v>37</v>
      </c>
      <c r="C1866" s="1">
        <v>44632.666666666664</v>
      </c>
      <c r="D1866" s="1">
        <v>44641.583333333336</v>
      </c>
      <c r="E1866" s="17">
        <f>IF(Tablo2[[#This Row],[Başlangıç]]="","",(IF(Tablo2[[#This Row],[Bitiş]]="",($G$1-Tablo2[[#This Row],[Başlangıç]])*24,(Tablo2[[#This Row],[Bitiş]]-Tablo2[[#This Row],[Başlangıç]])*24)))</f>
        <v>214.00000000011642</v>
      </c>
    </row>
    <row r="1867" spans="1:5" x14ac:dyDescent="0.3">
      <c r="A1867">
        <v>573</v>
      </c>
      <c r="B1867" t="s">
        <v>65</v>
      </c>
      <c r="C1867" s="1">
        <v>44636.416666666664</v>
      </c>
      <c r="D1867" s="1">
        <v>44641.625</v>
      </c>
      <c r="E1867" s="17">
        <f>IF(Tablo2[[#This Row],[Başlangıç]]="","",(IF(Tablo2[[#This Row],[Bitiş]]="",($G$1-Tablo2[[#This Row],[Başlangıç]])*24,(Tablo2[[#This Row],[Bitiş]]-Tablo2[[#This Row],[Başlangıç]])*24)))</f>
        <v>125.00000000005821</v>
      </c>
    </row>
    <row r="1868" spans="1:5" x14ac:dyDescent="0.3">
      <c r="A1868">
        <v>574</v>
      </c>
      <c r="B1868" t="s">
        <v>36</v>
      </c>
      <c r="C1868" s="1">
        <v>44633.506944444445</v>
      </c>
      <c r="D1868" s="1">
        <v>44635.125</v>
      </c>
      <c r="E1868" s="17">
        <f>IF(Tablo2[[#This Row],[Başlangıç]]="","",(IF(Tablo2[[#This Row],[Bitiş]]="",($G$1-Tablo2[[#This Row],[Başlangıç]])*24,(Tablo2[[#This Row],[Bitiş]]-Tablo2[[#This Row],[Başlangıç]])*24)))</f>
        <v>38.833333333313931</v>
      </c>
    </row>
    <row r="1869" spans="1:5" x14ac:dyDescent="0.3">
      <c r="A1869">
        <v>574</v>
      </c>
      <c r="B1869" t="s">
        <v>84</v>
      </c>
      <c r="C1869" s="1">
        <v>44641.5</v>
      </c>
      <c r="D1869" s="1">
        <v>44641.541666666664</v>
      </c>
      <c r="E1869" s="17">
        <f>IF(Tablo2[[#This Row],[Başlangıç]]="","",(IF(Tablo2[[#This Row],[Bitiş]]="",($G$1-Tablo2[[#This Row],[Başlangıç]])*24,(Tablo2[[#This Row],[Bitiş]]-Tablo2[[#This Row],[Başlangıç]])*24)))</f>
        <v>0.99999999994179234</v>
      </c>
    </row>
    <row r="1870" spans="1:5" x14ac:dyDescent="0.3">
      <c r="A1870">
        <v>574</v>
      </c>
      <c r="B1870" t="s">
        <v>179</v>
      </c>
      <c r="C1870" s="1">
        <v>44633.541666666664</v>
      </c>
      <c r="D1870" s="1">
        <v>44633.5625</v>
      </c>
      <c r="E187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71" spans="1:5" x14ac:dyDescent="0.3">
      <c r="A1871">
        <v>574</v>
      </c>
      <c r="B1871" t="s">
        <v>68</v>
      </c>
      <c r="C1871" s="1">
        <v>44640.020833333336</v>
      </c>
      <c r="D1871" s="1">
        <v>44641.583333333336</v>
      </c>
      <c r="E1871" s="17">
        <f>IF(Tablo2[[#This Row],[Başlangıç]]="","",(IF(Tablo2[[#This Row],[Bitiş]]="",($G$1-Tablo2[[#This Row],[Başlangıç]])*24,(Tablo2[[#This Row],[Bitiş]]-Tablo2[[#This Row],[Başlangıç]])*24)))</f>
        <v>37.5</v>
      </c>
    </row>
    <row r="1872" spans="1:5" x14ac:dyDescent="0.3">
      <c r="A1872">
        <v>574</v>
      </c>
      <c r="B1872" t="s">
        <v>37</v>
      </c>
      <c r="C1872" s="1">
        <v>44635.340277777781</v>
      </c>
      <c r="D1872" s="1">
        <v>44641.416666666664</v>
      </c>
      <c r="E1872" s="17">
        <f>IF(Tablo2[[#This Row],[Başlangıç]]="","",(IF(Tablo2[[#This Row],[Bitiş]]="",($G$1-Tablo2[[#This Row],[Başlangıç]])*24,(Tablo2[[#This Row],[Bitiş]]-Tablo2[[#This Row],[Başlangıç]])*24)))</f>
        <v>145.83333333319752</v>
      </c>
    </row>
    <row r="1873" spans="1:5" x14ac:dyDescent="0.3">
      <c r="A1873">
        <v>574</v>
      </c>
      <c r="B1873" t="s">
        <v>65</v>
      </c>
      <c r="C1873" s="1">
        <v>44637.493055555555</v>
      </c>
      <c r="D1873" s="1">
        <v>44641.5</v>
      </c>
      <c r="E1873" s="17">
        <f>IF(Tablo2[[#This Row],[Başlangıç]]="","",(IF(Tablo2[[#This Row],[Bitiş]]="",($G$1-Tablo2[[#This Row],[Başlangıç]])*24,(Tablo2[[#This Row],[Bitiş]]-Tablo2[[#This Row],[Başlangıç]])*24)))</f>
        <v>96.166666666686069</v>
      </c>
    </row>
    <row r="1874" spans="1:5" x14ac:dyDescent="0.3">
      <c r="A1874">
        <v>575</v>
      </c>
      <c r="B1874" t="s">
        <v>36</v>
      </c>
      <c r="C1874" s="1">
        <v>44634.416666666664</v>
      </c>
      <c r="D1874" s="1">
        <v>44635.625</v>
      </c>
      <c r="E1874" s="17">
        <f>IF(Tablo2[[#This Row],[Başlangıç]]="","",(IF(Tablo2[[#This Row],[Bitiş]]="",($G$1-Tablo2[[#This Row],[Başlangıç]])*24,(Tablo2[[#This Row],[Bitiş]]-Tablo2[[#This Row],[Başlangıç]])*24)))</f>
        <v>29.000000000058208</v>
      </c>
    </row>
    <row r="1875" spans="1:5" x14ac:dyDescent="0.3">
      <c r="A1875">
        <v>575</v>
      </c>
      <c r="B1875" t="s">
        <v>84</v>
      </c>
      <c r="C1875" s="1">
        <v>44644.879861111112</v>
      </c>
      <c r="D1875" s="1">
        <v>44646.333333333336</v>
      </c>
      <c r="E1875" s="17">
        <f>IF(Tablo2[[#This Row],[Başlangıç]]="","",(IF(Tablo2[[#This Row],[Bitiş]]="",($G$1-Tablo2[[#This Row],[Başlangıç]])*24,(Tablo2[[#This Row],[Bitiş]]-Tablo2[[#This Row],[Başlangıç]])*24)))</f>
        <v>34.883333333360497</v>
      </c>
    </row>
    <row r="1876" spans="1:5" x14ac:dyDescent="0.3">
      <c r="A1876">
        <v>575</v>
      </c>
      <c r="B1876" t="s">
        <v>179</v>
      </c>
      <c r="C1876" s="1">
        <v>44634.222222222219</v>
      </c>
      <c r="D1876" s="1">
        <v>44634.243055555555</v>
      </c>
      <c r="E187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77" spans="1:5" x14ac:dyDescent="0.3">
      <c r="A1877">
        <v>575</v>
      </c>
      <c r="B1877" t="s">
        <v>68</v>
      </c>
      <c r="C1877" s="1">
        <v>44645.645833333336</v>
      </c>
      <c r="D1877" s="1">
        <v>44646.333333333336</v>
      </c>
      <c r="E1877" s="17">
        <f>IF(Tablo2[[#This Row],[Başlangıç]]="","",(IF(Tablo2[[#This Row],[Bitiş]]="",($G$1-Tablo2[[#This Row],[Başlangıç]])*24,(Tablo2[[#This Row],[Bitiş]]-Tablo2[[#This Row],[Başlangıç]])*24)))</f>
        <v>16.5</v>
      </c>
    </row>
    <row r="1878" spans="1:5" x14ac:dyDescent="0.3">
      <c r="A1878">
        <v>575</v>
      </c>
      <c r="B1878" t="s">
        <v>37</v>
      </c>
      <c r="C1878" s="1">
        <v>44634.239583333336</v>
      </c>
      <c r="D1878" s="1">
        <v>44645.395833333336</v>
      </c>
      <c r="E1878" s="17">
        <f>IF(Tablo2[[#This Row],[Başlangıç]]="","",(IF(Tablo2[[#This Row],[Bitiş]]="",($G$1-Tablo2[[#This Row],[Başlangıç]])*24,(Tablo2[[#This Row],[Bitiş]]-Tablo2[[#This Row],[Başlangıç]])*24)))</f>
        <v>267.75</v>
      </c>
    </row>
    <row r="1879" spans="1:5" x14ac:dyDescent="0.3">
      <c r="A1879">
        <v>575</v>
      </c>
      <c r="B1879" t="s">
        <v>65</v>
      </c>
      <c r="C1879" s="1">
        <v>44641.409722222219</v>
      </c>
      <c r="D1879" s="1">
        <v>44646.333333333336</v>
      </c>
      <c r="E1879" s="17">
        <f>IF(Tablo2[[#This Row],[Başlangıç]]="","",(IF(Tablo2[[#This Row],[Bitiş]]="",($G$1-Tablo2[[#This Row],[Başlangıç]])*24,(Tablo2[[#This Row],[Bitiş]]-Tablo2[[#This Row],[Başlangıç]])*24)))</f>
        <v>118.16666666680248</v>
      </c>
    </row>
    <row r="1880" spans="1:5" x14ac:dyDescent="0.3">
      <c r="A1880">
        <v>576</v>
      </c>
      <c r="B1880" t="s">
        <v>36</v>
      </c>
      <c r="C1880" s="1">
        <v>44636.368055555555</v>
      </c>
      <c r="D1880" s="1">
        <v>44637.458333333336</v>
      </c>
      <c r="E1880" s="17">
        <f>IF(Tablo2[[#This Row],[Başlangıç]]="","",(IF(Tablo2[[#This Row],[Bitiş]]="",($G$1-Tablo2[[#This Row],[Başlangıç]])*24,(Tablo2[[#This Row],[Bitiş]]-Tablo2[[#This Row],[Başlangıç]])*24)))</f>
        <v>26.166666666744277</v>
      </c>
    </row>
    <row r="1881" spans="1:5" x14ac:dyDescent="0.3">
      <c r="A1881">
        <v>576</v>
      </c>
      <c r="B1881" t="s">
        <v>84</v>
      </c>
      <c r="C1881" s="1">
        <v>44641.277777777781</v>
      </c>
      <c r="D1881" s="1">
        <v>44644.103472222225</v>
      </c>
      <c r="E1881" s="17">
        <f>IF(Tablo2[[#This Row],[Başlangıç]]="","",(IF(Tablo2[[#This Row],[Bitiş]]="",($G$1-Tablo2[[#This Row],[Başlangıç]])*24,(Tablo2[[#This Row],[Bitiş]]-Tablo2[[#This Row],[Başlangıç]])*24)))</f>
        <v>67.816666666651145</v>
      </c>
    </row>
    <row r="1882" spans="1:5" x14ac:dyDescent="0.3">
      <c r="A1882">
        <v>576</v>
      </c>
      <c r="B1882" t="s">
        <v>179</v>
      </c>
      <c r="C1882" s="1">
        <v>44635.083333333336</v>
      </c>
      <c r="D1882" s="1">
        <v>44635.104166666664</v>
      </c>
      <c r="E188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83" spans="1:5" x14ac:dyDescent="0.3">
      <c r="A1883">
        <v>576</v>
      </c>
      <c r="B1883" t="s">
        <v>68</v>
      </c>
      <c r="C1883" s="1">
        <v>44641.6875</v>
      </c>
      <c r="D1883" s="1">
        <v>44644.103472222225</v>
      </c>
      <c r="E1883" s="17">
        <f>IF(Tablo2[[#This Row],[Başlangıç]]="","",(IF(Tablo2[[#This Row],[Bitiş]]="",($G$1-Tablo2[[#This Row],[Başlangıç]])*24,(Tablo2[[#This Row],[Bitiş]]-Tablo2[[#This Row],[Başlangıç]])*24)))</f>
        <v>57.983333333395422</v>
      </c>
    </row>
    <row r="1884" spans="1:5" x14ac:dyDescent="0.3">
      <c r="A1884">
        <v>576</v>
      </c>
      <c r="B1884" t="s">
        <v>37</v>
      </c>
      <c r="C1884" s="1">
        <v>44635.979166666664</v>
      </c>
      <c r="D1884" s="1">
        <v>44644.091666666667</v>
      </c>
      <c r="E1884" s="17">
        <f>IF(Tablo2[[#This Row],[Başlangıç]]="","",(IF(Tablo2[[#This Row],[Bitiş]]="",($G$1-Tablo2[[#This Row],[Başlangıç]])*24,(Tablo2[[#This Row],[Bitiş]]-Tablo2[[#This Row],[Başlangıç]])*24)))</f>
        <v>194.70000000006985</v>
      </c>
    </row>
    <row r="1885" spans="1:5" x14ac:dyDescent="0.3">
      <c r="A1885">
        <v>576</v>
      </c>
      <c r="B1885" t="s">
        <v>65</v>
      </c>
      <c r="C1885" s="1">
        <v>44639.677083333336</v>
      </c>
      <c r="D1885" s="1">
        <v>44644.1</v>
      </c>
      <c r="E1885" s="17">
        <f>IF(Tablo2[[#This Row],[Başlangıç]]="","",(IF(Tablo2[[#This Row],[Bitiş]]="",($G$1-Tablo2[[#This Row],[Başlangıç]])*24,(Tablo2[[#This Row],[Bitiş]]-Tablo2[[#This Row],[Başlangıç]])*24)))</f>
        <v>106.14999999990687</v>
      </c>
    </row>
    <row r="1886" spans="1:5" x14ac:dyDescent="0.3">
      <c r="A1886">
        <v>577</v>
      </c>
      <c r="B1886" t="s">
        <v>36</v>
      </c>
      <c r="C1886" s="1">
        <v>44635.361111111109</v>
      </c>
      <c r="D1886" s="1">
        <v>44636.356944444444</v>
      </c>
      <c r="E1886" s="17">
        <f>IF(Tablo2[[#This Row],[Başlangıç]]="","",(IF(Tablo2[[#This Row],[Bitiş]]="",($G$1-Tablo2[[#This Row],[Başlangıç]])*24,(Tablo2[[#This Row],[Bitiş]]-Tablo2[[#This Row],[Başlangıç]])*24)))</f>
        <v>23.900000000023283</v>
      </c>
    </row>
    <row r="1887" spans="1:5" x14ac:dyDescent="0.3">
      <c r="A1887">
        <v>577</v>
      </c>
      <c r="B1887" t="s">
        <v>84</v>
      </c>
      <c r="C1887" s="1">
        <v>44639.833333333336</v>
      </c>
      <c r="D1887" s="1">
        <v>44644.375</v>
      </c>
      <c r="E1887" s="17">
        <f>IF(Tablo2[[#This Row],[Başlangıç]]="","",(IF(Tablo2[[#This Row],[Bitiş]]="",($G$1-Tablo2[[#This Row],[Başlangıç]])*24,(Tablo2[[#This Row],[Bitiş]]-Tablo2[[#This Row],[Başlangıç]])*24)))</f>
        <v>108.99999999994179</v>
      </c>
    </row>
    <row r="1888" spans="1:5" x14ac:dyDescent="0.3">
      <c r="A1888">
        <v>577</v>
      </c>
      <c r="B1888" t="s">
        <v>179</v>
      </c>
      <c r="C1888" s="1">
        <v>44635.230555555558</v>
      </c>
      <c r="D1888" s="1">
        <v>44635.251388888886</v>
      </c>
      <c r="E188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889" spans="1:5" x14ac:dyDescent="0.3">
      <c r="A1889">
        <v>577</v>
      </c>
      <c r="B1889" t="s">
        <v>68</v>
      </c>
      <c r="C1889" s="1">
        <v>44640.166666666664</v>
      </c>
      <c r="D1889" s="1">
        <v>44644.375</v>
      </c>
      <c r="E1889" s="17">
        <f>IF(Tablo2[[#This Row],[Başlangıç]]="","",(IF(Tablo2[[#This Row],[Bitiş]]="",($G$1-Tablo2[[#This Row],[Başlangıç]])*24,(Tablo2[[#This Row],[Bitiş]]-Tablo2[[#This Row],[Başlangıç]])*24)))</f>
        <v>101.00000000005821</v>
      </c>
    </row>
    <row r="1890" spans="1:5" x14ac:dyDescent="0.3">
      <c r="A1890">
        <v>577</v>
      </c>
      <c r="B1890" t="s">
        <v>37</v>
      </c>
      <c r="C1890" s="1">
        <v>44635.361111111109</v>
      </c>
      <c r="D1890" s="1">
        <v>44644.333333333336</v>
      </c>
      <c r="E1890" s="17">
        <f>IF(Tablo2[[#This Row],[Başlangıç]]="","",(IF(Tablo2[[#This Row],[Bitiş]]="",($G$1-Tablo2[[#This Row],[Başlangıç]])*24,(Tablo2[[#This Row],[Bitiş]]-Tablo2[[#This Row],[Başlangıç]])*24)))</f>
        <v>215.33333333343035</v>
      </c>
    </row>
    <row r="1891" spans="1:5" x14ac:dyDescent="0.3">
      <c r="A1891">
        <v>577</v>
      </c>
      <c r="B1891" t="s">
        <v>65</v>
      </c>
      <c r="C1891" s="1">
        <v>44637.875</v>
      </c>
      <c r="D1891" s="1">
        <v>44644.666666666664</v>
      </c>
      <c r="E1891" s="17">
        <f>IF(Tablo2[[#This Row],[Başlangıç]]="","",(IF(Tablo2[[#This Row],[Bitiş]]="",($G$1-Tablo2[[#This Row],[Başlangıç]])*24,(Tablo2[[#This Row],[Bitiş]]-Tablo2[[#This Row],[Başlangıç]])*24)))</f>
        <v>162.99999999994179</v>
      </c>
    </row>
    <row r="1892" spans="1:5" x14ac:dyDescent="0.3">
      <c r="A1892">
        <v>578</v>
      </c>
      <c r="B1892" t="s">
        <v>36</v>
      </c>
      <c r="C1892" s="1">
        <v>44635.885416666664</v>
      </c>
      <c r="D1892" s="1">
        <v>44636.982638888891</v>
      </c>
      <c r="E1892" s="17">
        <f>IF(Tablo2[[#This Row],[Başlangıç]]="","",(IF(Tablo2[[#This Row],[Bitiş]]="",($G$1-Tablo2[[#This Row],[Başlangıç]])*24,(Tablo2[[#This Row],[Bitiş]]-Tablo2[[#This Row],[Başlangıç]])*24)))</f>
        <v>26.333333333430346</v>
      </c>
    </row>
    <row r="1893" spans="1:5" x14ac:dyDescent="0.3">
      <c r="A1893">
        <v>578</v>
      </c>
      <c r="B1893" t="s">
        <v>84</v>
      </c>
      <c r="C1893" s="1">
        <v>44638.802083333336</v>
      </c>
      <c r="D1893" s="1">
        <v>44640.416666666664</v>
      </c>
      <c r="E1893" s="17">
        <f>IF(Tablo2[[#This Row],[Başlangıç]]="","",(IF(Tablo2[[#This Row],[Bitiş]]="",($G$1-Tablo2[[#This Row],[Başlangıç]])*24,(Tablo2[[#This Row],[Bitiş]]-Tablo2[[#This Row],[Başlangıç]])*24)))</f>
        <v>38.749999999883585</v>
      </c>
    </row>
    <row r="1894" spans="1:5" x14ac:dyDescent="0.3">
      <c r="A1894">
        <v>578</v>
      </c>
      <c r="B1894" t="s">
        <v>179</v>
      </c>
      <c r="C1894" s="1">
        <v>44635.875</v>
      </c>
      <c r="D1894" s="1">
        <v>44635.895833333336</v>
      </c>
      <c r="E189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895" spans="1:5" x14ac:dyDescent="0.3">
      <c r="A1895">
        <v>578</v>
      </c>
      <c r="B1895" t="s">
        <v>68</v>
      </c>
      <c r="C1895" s="1">
        <v>44639.083333333336</v>
      </c>
      <c r="D1895" s="1">
        <v>44640.951388888891</v>
      </c>
      <c r="E1895" s="17">
        <f>IF(Tablo2[[#This Row],[Başlangıç]]="","",(IF(Tablo2[[#This Row],[Bitiş]]="",($G$1-Tablo2[[#This Row],[Başlangıç]])*24,(Tablo2[[#This Row],[Bitiş]]-Tablo2[[#This Row],[Başlangıç]])*24)))</f>
        <v>44.833333333313931</v>
      </c>
    </row>
    <row r="1896" spans="1:5" x14ac:dyDescent="0.3">
      <c r="A1896">
        <v>578</v>
      </c>
      <c r="B1896" t="s">
        <v>37</v>
      </c>
      <c r="C1896" s="1">
        <v>44637.208333333336</v>
      </c>
      <c r="D1896" s="1">
        <v>44640.444444444445</v>
      </c>
      <c r="E1896" s="17">
        <f>IF(Tablo2[[#This Row],[Başlangıç]]="","",(IF(Tablo2[[#This Row],[Bitiş]]="",($G$1-Tablo2[[#This Row],[Başlangıç]])*24,(Tablo2[[#This Row],[Bitiş]]-Tablo2[[#This Row],[Başlangıç]])*24)))</f>
        <v>77.666666666627862</v>
      </c>
    </row>
    <row r="1897" spans="1:5" x14ac:dyDescent="0.3">
      <c r="A1897">
        <v>578</v>
      </c>
      <c r="B1897" t="s">
        <v>65</v>
      </c>
      <c r="C1897" s="1">
        <v>44638.013888888891</v>
      </c>
      <c r="D1897" s="1">
        <v>44640</v>
      </c>
      <c r="E1897" s="17">
        <f>IF(Tablo2[[#This Row],[Başlangıç]]="","",(IF(Tablo2[[#This Row],[Bitiş]]="",($G$1-Tablo2[[#This Row],[Başlangıç]])*24,(Tablo2[[#This Row],[Bitiş]]-Tablo2[[#This Row],[Başlangıç]])*24)))</f>
        <v>47.666666666627862</v>
      </c>
    </row>
    <row r="1898" spans="1:5" x14ac:dyDescent="0.3">
      <c r="A1898">
        <v>579</v>
      </c>
      <c r="B1898" t="s">
        <v>36</v>
      </c>
      <c r="C1898" s="1">
        <v>44636.791666666664</v>
      </c>
      <c r="D1898" s="1">
        <v>44638.055555555555</v>
      </c>
      <c r="E1898" s="17">
        <f>IF(Tablo2[[#This Row],[Başlangıç]]="","",(IF(Tablo2[[#This Row],[Bitiş]]="",($G$1-Tablo2[[#This Row],[Başlangıç]])*24,(Tablo2[[#This Row],[Bitiş]]-Tablo2[[#This Row],[Başlangıç]])*24)))</f>
        <v>30.333333333372138</v>
      </c>
    </row>
    <row r="1899" spans="1:5" x14ac:dyDescent="0.3">
      <c r="A1899">
        <v>579</v>
      </c>
      <c r="B1899" t="s">
        <v>84</v>
      </c>
      <c r="C1899" s="1">
        <v>44642.916666666664</v>
      </c>
      <c r="D1899" s="1">
        <v>44644.416666666664</v>
      </c>
      <c r="E1899" s="17">
        <f>IF(Tablo2[[#This Row],[Başlangıç]]="","",(IF(Tablo2[[#This Row],[Bitiş]]="",($G$1-Tablo2[[#This Row],[Başlangıç]])*24,(Tablo2[[#This Row],[Bitiş]]-Tablo2[[#This Row],[Başlangıç]])*24)))</f>
        <v>36</v>
      </c>
    </row>
    <row r="1900" spans="1:5" x14ac:dyDescent="0.3">
      <c r="A1900">
        <v>579</v>
      </c>
      <c r="B1900" t="s">
        <v>179</v>
      </c>
      <c r="C1900" s="1">
        <v>44636.138888888891</v>
      </c>
      <c r="D1900" s="1">
        <v>44636.159722222219</v>
      </c>
      <c r="E190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01" spans="1:5" x14ac:dyDescent="0.3">
      <c r="A1901">
        <v>579</v>
      </c>
      <c r="B1901" t="s">
        <v>68</v>
      </c>
      <c r="C1901" s="1">
        <v>44643.6875</v>
      </c>
      <c r="D1901" s="1">
        <v>44644.416666666664</v>
      </c>
      <c r="E1901" s="17">
        <f>IF(Tablo2[[#This Row],[Başlangıç]]="","",(IF(Tablo2[[#This Row],[Bitiş]]="",($G$1-Tablo2[[#This Row],[Başlangıç]])*24,(Tablo2[[#This Row],[Bitiş]]-Tablo2[[#This Row],[Başlangıç]])*24)))</f>
        <v>17.499999999941792</v>
      </c>
    </row>
    <row r="1902" spans="1:5" x14ac:dyDescent="0.3">
      <c r="A1902">
        <v>579</v>
      </c>
      <c r="B1902" t="s">
        <v>37</v>
      </c>
      <c r="C1902" s="1">
        <v>44636.40625</v>
      </c>
      <c r="D1902" s="1">
        <v>44644.541666666664</v>
      </c>
      <c r="E1902" s="17">
        <f>IF(Tablo2[[#This Row],[Başlangıç]]="","",(IF(Tablo2[[#This Row],[Bitiş]]="",($G$1-Tablo2[[#This Row],[Başlangıç]])*24,(Tablo2[[#This Row],[Bitiş]]-Tablo2[[#This Row],[Başlangıç]])*24)))</f>
        <v>195.24999999994179</v>
      </c>
    </row>
    <row r="1903" spans="1:5" x14ac:dyDescent="0.3">
      <c r="A1903">
        <v>579</v>
      </c>
      <c r="B1903" t="s">
        <v>65</v>
      </c>
      <c r="C1903" s="1">
        <v>44641.875</v>
      </c>
      <c r="D1903" s="1">
        <v>44644.416666666664</v>
      </c>
      <c r="E1903" s="17">
        <f>IF(Tablo2[[#This Row],[Başlangıç]]="","",(IF(Tablo2[[#This Row],[Bitiş]]="",($G$1-Tablo2[[#This Row],[Başlangıç]])*24,(Tablo2[[#This Row],[Bitiş]]-Tablo2[[#This Row],[Başlangıç]])*24)))</f>
        <v>60.999999999941792</v>
      </c>
    </row>
    <row r="1904" spans="1:5" x14ac:dyDescent="0.3">
      <c r="A1904">
        <v>580</v>
      </c>
      <c r="B1904" t="s">
        <v>36</v>
      </c>
      <c r="C1904" s="1">
        <v>44637.388888888891</v>
      </c>
      <c r="D1904" s="1">
        <v>44638.611111111109</v>
      </c>
      <c r="E1904" s="17">
        <f>IF(Tablo2[[#This Row],[Başlangıç]]="","",(IF(Tablo2[[#This Row],[Bitiş]]="",($G$1-Tablo2[[#This Row],[Başlangıç]])*24,(Tablo2[[#This Row],[Bitiş]]-Tablo2[[#This Row],[Başlangıç]])*24)))</f>
        <v>29.333333333255723</v>
      </c>
    </row>
    <row r="1905" spans="1:5" x14ac:dyDescent="0.3">
      <c r="A1905">
        <v>580</v>
      </c>
      <c r="B1905" t="s">
        <v>84</v>
      </c>
      <c r="C1905" s="1">
        <v>44646.333333333336</v>
      </c>
      <c r="D1905" s="1">
        <v>44646.333333333336</v>
      </c>
      <c r="E1905" s="17">
        <f>IF(Tablo2[[#This Row],[Başlangıç]]="","",(IF(Tablo2[[#This Row],[Bitiş]]="",($G$1-Tablo2[[#This Row],[Başlangıç]])*24,(Tablo2[[#This Row],[Bitiş]]-Tablo2[[#This Row],[Başlangıç]])*24)))</f>
        <v>0</v>
      </c>
    </row>
    <row r="1906" spans="1:5" x14ac:dyDescent="0.3">
      <c r="A1906">
        <v>580</v>
      </c>
      <c r="B1906" t="s">
        <v>179</v>
      </c>
      <c r="C1906" s="1">
        <v>44636.833333333336</v>
      </c>
      <c r="D1906" s="1">
        <v>44636.854166666664</v>
      </c>
      <c r="E190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07" spans="1:5" x14ac:dyDescent="0.3">
      <c r="A1907">
        <v>580</v>
      </c>
      <c r="B1907" t="s">
        <v>68</v>
      </c>
      <c r="C1907" s="1">
        <v>44642.743055555555</v>
      </c>
      <c r="D1907" s="1">
        <v>44646.333333333336</v>
      </c>
      <c r="E1907" s="17">
        <f>IF(Tablo2[[#This Row],[Başlangıç]]="","",(IF(Tablo2[[#This Row],[Bitiş]]="",($G$1-Tablo2[[#This Row],[Başlangıç]])*24,(Tablo2[[#This Row],[Bitiş]]-Tablo2[[#This Row],[Başlangıç]])*24)))</f>
        <v>86.166666666744277</v>
      </c>
    </row>
    <row r="1908" spans="1:5" x14ac:dyDescent="0.3">
      <c r="A1908">
        <v>580</v>
      </c>
      <c r="B1908" t="s">
        <v>37</v>
      </c>
      <c r="C1908" s="1">
        <v>44636.986111111109</v>
      </c>
      <c r="D1908" s="1">
        <v>44645.047222222223</v>
      </c>
      <c r="E1908" s="17">
        <f>IF(Tablo2[[#This Row],[Başlangıç]]="","",(IF(Tablo2[[#This Row],[Bitiş]]="",($G$1-Tablo2[[#This Row],[Başlangıç]])*24,(Tablo2[[#This Row],[Bitiş]]-Tablo2[[#This Row],[Başlangıç]])*24)))</f>
        <v>193.46666666673264</v>
      </c>
    </row>
    <row r="1909" spans="1:5" x14ac:dyDescent="0.3">
      <c r="A1909">
        <v>580</v>
      </c>
      <c r="B1909" t="s">
        <v>65</v>
      </c>
      <c r="C1909" s="1">
        <v>44640.395833333336</v>
      </c>
      <c r="D1909" s="1">
        <v>44646.333333333336</v>
      </c>
      <c r="E1909" s="17">
        <f>IF(Tablo2[[#This Row],[Başlangıç]]="","",(IF(Tablo2[[#This Row],[Bitiş]]="",($G$1-Tablo2[[#This Row],[Başlangıç]])*24,(Tablo2[[#This Row],[Bitiş]]-Tablo2[[#This Row],[Başlangıç]])*24)))</f>
        <v>142.5</v>
      </c>
    </row>
    <row r="1910" spans="1:5" x14ac:dyDescent="0.3">
      <c r="A1910">
        <v>581</v>
      </c>
      <c r="B1910" t="s">
        <v>36</v>
      </c>
      <c r="C1910" s="1">
        <v>44637.833333333336</v>
      </c>
      <c r="D1910" s="1">
        <v>44639.097222222219</v>
      </c>
      <c r="E1910" s="17">
        <f>IF(Tablo2[[#This Row],[Başlangıç]]="","",(IF(Tablo2[[#This Row],[Bitiş]]="",($G$1-Tablo2[[#This Row],[Başlangıç]])*24,(Tablo2[[#This Row],[Bitiş]]-Tablo2[[#This Row],[Başlangıç]])*24)))</f>
        <v>30.333333333197515</v>
      </c>
    </row>
    <row r="1911" spans="1:5" x14ac:dyDescent="0.3">
      <c r="A1911">
        <v>581</v>
      </c>
      <c r="B1911" t="s">
        <v>84</v>
      </c>
      <c r="C1911" s="1">
        <v>44644.25</v>
      </c>
      <c r="D1911" s="1">
        <v>44644.25</v>
      </c>
      <c r="E1911" s="17">
        <f>IF(Tablo2[[#This Row],[Başlangıç]]="","",(IF(Tablo2[[#This Row],[Bitiş]]="",($G$1-Tablo2[[#This Row],[Başlangıç]])*24,(Tablo2[[#This Row],[Bitiş]]-Tablo2[[#This Row],[Başlangıç]])*24)))</f>
        <v>0</v>
      </c>
    </row>
    <row r="1912" spans="1:5" x14ac:dyDescent="0.3">
      <c r="A1912">
        <v>581</v>
      </c>
      <c r="B1912" t="s">
        <v>179</v>
      </c>
      <c r="C1912" s="1">
        <v>44637.072222222225</v>
      </c>
      <c r="D1912" s="1">
        <v>44637.093055555553</v>
      </c>
      <c r="E191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13" spans="1:5" x14ac:dyDescent="0.3">
      <c r="A1913">
        <v>581</v>
      </c>
      <c r="B1913" t="s">
        <v>68</v>
      </c>
      <c r="C1913" s="1">
        <v>44642.034722222219</v>
      </c>
      <c r="D1913" s="1">
        <v>44644.25</v>
      </c>
      <c r="E1913" s="17">
        <f>IF(Tablo2[[#This Row],[Başlangıç]]="","",(IF(Tablo2[[#This Row],[Bitiş]]="",($G$1-Tablo2[[#This Row],[Başlangıç]])*24,(Tablo2[[#This Row],[Bitiş]]-Tablo2[[#This Row],[Başlangıç]])*24)))</f>
        <v>53.166666666744277</v>
      </c>
    </row>
    <row r="1914" spans="1:5" x14ac:dyDescent="0.3">
      <c r="A1914">
        <v>581</v>
      </c>
      <c r="B1914" t="s">
        <v>37</v>
      </c>
      <c r="C1914" s="1">
        <v>44637.333333333336</v>
      </c>
      <c r="D1914" s="1">
        <v>44644.125</v>
      </c>
      <c r="E1914" s="17">
        <f>IF(Tablo2[[#This Row],[Başlangıç]]="","",(IF(Tablo2[[#This Row],[Bitiş]]="",($G$1-Tablo2[[#This Row],[Başlangıç]])*24,(Tablo2[[#This Row],[Bitiş]]-Tablo2[[#This Row],[Başlangıç]])*24)))</f>
        <v>162.99999999994179</v>
      </c>
    </row>
    <row r="1915" spans="1:5" x14ac:dyDescent="0.3">
      <c r="A1915">
        <v>581</v>
      </c>
      <c r="B1915" t="s">
        <v>65</v>
      </c>
      <c r="C1915" s="1">
        <v>44640.416666666664</v>
      </c>
      <c r="D1915" s="1">
        <v>44644.25</v>
      </c>
      <c r="E1915" s="17">
        <f>IF(Tablo2[[#This Row],[Başlangıç]]="","",(IF(Tablo2[[#This Row],[Bitiş]]="",($G$1-Tablo2[[#This Row],[Başlangıç]])*24,(Tablo2[[#This Row],[Bitiş]]-Tablo2[[#This Row],[Başlangıç]])*24)))</f>
        <v>92.000000000058208</v>
      </c>
    </row>
    <row r="1916" spans="1:5" x14ac:dyDescent="0.3">
      <c r="A1916">
        <v>582</v>
      </c>
      <c r="B1916" t="s">
        <v>36</v>
      </c>
      <c r="C1916" s="1">
        <v>44638.364583333336</v>
      </c>
      <c r="D1916" s="1">
        <v>44639.527777777781</v>
      </c>
      <c r="E1916" s="17">
        <f>IF(Tablo2[[#This Row],[Başlangıç]]="","",(IF(Tablo2[[#This Row],[Bitiş]]="",($G$1-Tablo2[[#This Row],[Başlangıç]])*24,(Tablo2[[#This Row],[Bitiş]]-Tablo2[[#This Row],[Başlangıç]])*24)))</f>
        <v>27.916666666686069</v>
      </c>
    </row>
    <row r="1917" spans="1:5" x14ac:dyDescent="0.3">
      <c r="A1917">
        <v>582</v>
      </c>
      <c r="B1917" t="s">
        <v>84</v>
      </c>
      <c r="C1917" s="1">
        <v>44647.666666666664</v>
      </c>
      <c r="D1917" s="1">
        <v>44647.666666666664</v>
      </c>
      <c r="E1917" s="17">
        <f>IF(Tablo2[[#This Row],[Başlangıç]]="","",(IF(Tablo2[[#This Row],[Bitiş]]="",($G$1-Tablo2[[#This Row],[Başlangıç]])*24,(Tablo2[[#This Row],[Bitiş]]-Tablo2[[#This Row],[Başlangıç]])*24)))</f>
        <v>0</v>
      </c>
    </row>
    <row r="1918" spans="1:5" x14ac:dyDescent="0.3">
      <c r="A1918">
        <v>582</v>
      </c>
      <c r="B1918" t="s">
        <v>179</v>
      </c>
      <c r="C1918" s="1">
        <v>44637.833333333336</v>
      </c>
      <c r="D1918" s="1">
        <v>44637.854166666664</v>
      </c>
      <c r="E191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19" spans="1:5" x14ac:dyDescent="0.3">
      <c r="A1919">
        <v>582</v>
      </c>
      <c r="B1919" t="s">
        <v>68</v>
      </c>
      <c r="C1919" s="1">
        <v>44646.6875</v>
      </c>
      <c r="D1919" s="1">
        <v>44647.666666666664</v>
      </c>
      <c r="E1919" s="17">
        <f>IF(Tablo2[[#This Row],[Başlangıç]]="","",(IF(Tablo2[[#This Row],[Bitiş]]="",($G$1-Tablo2[[#This Row],[Başlangıç]])*24,(Tablo2[[#This Row],[Bitiş]]-Tablo2[[#This Row],[Başlangıç]])*24)))</f>
        <v>23.499999999941792</v>
      </c>
    </row>
    <row r="1920" spans="1:5" x14ac:dyDescent="0.3">
      <c r="A1920">
        <v>582</v>
      </c>
      <c r="B1920" t="s">
        <v>37</v>
      </c>
      <c r="C1920" s="1">
        <v>44637.9375</v>
      </c>
      <c r="D1920" s="1">
        <v>44647.333333333336</v>
      </c>
      <c r="E1920" s="17">
        <f>IF(Tablo2[[#This Row],[Başlangıç]]="","",(IF(Tablo2[[#This Row],[Bitiş]]="",($G$1-Tablo2[[#This Row],[Başlangıç]])*24,(Tablo2[[#This Row],[Bitiş]]-Tablo2[[#This Row],[Başlangıç]])*24)))</f>
        <v>225.50000000005821</v>
      </c>
    </row>
    <row r="1921" spans="1:5" x14ac:dyDescent="0.3">
      <c r="A1921">
        <v>582</v>
      </c>
      <c r="B1921" t="s">
        <v>65</v>
      </c>
      <c r="C1921" s="1">
        <v>44643.34375</v>
      </c>
      <c r="D1921" s="1">
        <v>44647.333333333336</v>
      </c>
      <c r="E1921" s="17">
        <f>IF(Tablo2[[#This Row],[Başlangıç]]="","",(IF(Tablo2[[#This Row],[Bitiş]]="",($G$1-Tablo2[[#This Row],[Başlangıç]])*24,(Tablo2[[#This Row],[Bitiş]]-Tablo2[[#This Row],[Başlangıç]])*24)))</f>
        <v>95.750000000058208</v>
      </c>
    </row>
    <row r="1922" spans="1:5" x14ac:dyDescent="0.3">
      <c r="A1922">
        <v>583</v>
      </c>
      <c r="B1922" t="s">
        <v>36</v>
      </c>
      <c r="C1922" s="1">
        <v>44639.583333333336</v>
      </c>
      <c r="D1922" s="1">
        <v>44639.833333333336</v>
      </c>
      <c r="E1922" s="17">
        <f>IF(Tablo2[[#This Row],[Başlangıç]]="","",(IF(Tablo2[[#This Row],[Bitiş]]="",($G$1-Tablo2[[#This Row],[Başlangıç]])*24,(Tablo2[[#This Row],[Bitiş]]-Tablo2[[#This Row],[Başlangıç]])*24)))</f>
        <v>6</v>
      </c>
    </row>
    <row r="1923" spans="1:5" x14ac:dyDescent="0.3">
      <c r="A1923">
        <v>583</v>
      </c>
      <c r="B1923" t="s">
        <v>84</v>
      </c>
      <c r="C1923" s="1">
        <v>44646.333333333336</v>
      </c>
      <c r="D1923" s="1">
        <v>44646.666666666664</v>
      </c>
      <c r="E1923" s="17">
        <f>IF(Tablo2[[#This Row],[Başlangıç]]="","",(IF(Tablo2[[#This Row],[Bitiş]]="",($G$1-Tablo2[[#This Row],[Başlangıç]])*24,(Tablo2[[#This Row],[Bitiş]]-Tablo2[[#This Row],[Başlangıç]])*24)))</f>
        <v>7.9999999998835847</v>
      </c>
    </row>
    <row r="1924" spans="1:5" x14ac:dyDescent="0.3">
      <c r="A1924">
        <v>583</v>
      </c>
      <c r="B1924" t="s">
        <v>179</v>
      </c>
      <c r="C1924" s="1">
        <v>44638.529861111114</v>
      </c>
      <c r="D1924" s="1">
        <v>44638.550694444442</v>
      </c>
      <c r="E192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25" spans="1:5" x14ac:dyDescent="0.3">
      <c r="A1925">
        <v>583</v>
      </c>
      <c r="B1925" t="s">
        <v>68</v>
      </c>
      <c r="C1925" s="1">
        <v>44646.010416666664</v>
      </c>
      <c r="D1925" s="1">
        <v>44646.802083333336</v>
      </c>
      <c r="E1925" s="17">
        <f>IF(Tablo2[[#This Row],[Başlangıç]]="","",(IF(Tablo2[[#This Row],[Bitiş]]="",($G$1-Tablo2[[#This Row],[Başlangıç]])*24,(Tablo2[[#This Row],[Bitiş]]-Tablo2[[#This Row],[Başlangıç]])*24)))</f>
        <v>19.000000000116415</v>
      </c>
    </row>
    <row r="1926" spans="1:5" x14ac:dyDescent="0.3">
      <c r="A1926">
        <v>583</v>
      </c>
      <c r="B1926" t="s">
        <v>37</v>
      </c>
      <c r="C1926" s="1">
        <v>44638.427083333336</v>
      </c>
      <c r="D1926" s="1">
        <v>44646.666666666664</v>
      </c>
      <c r="E1926" s="17">
        <f>IF(Tablo2[[#This Row],[Başlangıç]]="","",(IF(Tablo2[[#This Row],[Bitiş]]="",($G$1-Tablo2[[#This Row],[Başlangıç]])*24,(Tablo2[[#This Row],[Bitiş]]-Tablo2[[#This Row],[Başlangıç]])*24)))</f>
        <v>197.74999999988358</v>
      </c>
    </row>
    <row r="1927" spans="1:5" x14ac:dyDescent="0.3">
      <c r="A1927">
        <v>583</v>
      </c>
      <c r="B1927" t="s">
        <v>65</v>
      </c>
      <c r="C1927" s="1">
        <v>44643.604166666664</v>
      </c>
      <c r="D1927" s="1">
        <v>44646.333333333336</v>
      </c>
      <c r="E1927" s="17">
        <f>IF(Tablo2[[#This Row],[Başlangıç]]="","",(IF(Tablo2[[#This Row],[Bitiş]]="",($G$1-Tablo2[[#This Row],[Başlangıç]])*24,(Tablo2[[#This Row],[Bitiş]]-Tablo2[[#This Row],[Başlangıç]])*24)))</f>
        <v>65.500000000116415</v>
      </c>
    </row>
    <row r="1928" spans="1:5" x14ac:dyDescent="0.3">
      <c r="A1928">
        <v>584</v>
      </c>
      <c r="B1928" t="s">
        <v>36</v>
      </c>
      <c r="C1928" s="1">
        <v>44639.458333333336</v>
      </c>
      <c r="D1928" s="1">
        <v>44640.743055555555</v>
      </c>
      <c r="E1928" s="17">
        <f>IF(Tablo2[[#This Row],[Başlangıç]]="","",(IF(Tablo2[[#This Row],[Bitiş]]="",($G$1-Tablo2[[#This Row],[Başlangıç]])*24,(Tablo2[[#This Row],[Bitiş]]-Tablo2[[#This Row],[Başlangıç]])*24)))</f>
        <v>30.833333333255723</v>
      </c>
    </row>
    <row r="1929" spans="1:5" x14ac:dyDescent="0.3">
      <c r="A1929">
        <v>584</v>
      </c>
      <c r="B1929" t="s">
        <v>84</v>
      </c>
      <c r="C1929" s="1">
        <v>44643.614583333336</v>
      </c>
      <c r="D1929" s="1">
        <v>44645.125</v>
      </c>
      <c r="E1929" s="17">
        <f>IF(Tablo2[[#This Row],[Başlangıç]]="","",(IF(Tablo2[[#This Row],[Bitiş]]="",($G$1-Tablo2[[#This Row],[Başlangıç]])*24,(Tablo2[[#This Row],[Bitiş]]-Tablo2[[#This Row],[Başlangıç]])*24)))</f>
        <v>36.249999999941792</v>
      </c>
    </row>
    <row r="1930" spans="1:5" x14ac:dyDescent="0.3">
      <c r="A1930">
        <v>584</v>
      </c>
      <c r="B1930" t="s">
        <v>179</v>
      </c>
      <c r="C1930" s="1">
        <v>44639.307638888888</v>
      </c>
      <c r="D1930" s="1">
        <v>44639.328472222223</v>
      </c>
      <c r="E193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31" spans="1:5" x14ac:dyDescent="0.3">
      <c r="A1931">
        <v>584</v>
      </c>
      <c r="B1931" t="s">
        <v>68</v>
      </c>
      <c r="C1931" s="1">
        <v>44643.9375</v>
      </c>
      <c r="D1931" s="1">
        <v>44645.308333333334</v>
      </c>
      <c r="E1931" s="17">
        <f>IF(Tablo2[[#This Row],[Başlangıç]]="","",(IF(Tablo2[[#This Row],[Bitiş]]="",($G$1-Tablo2[[#This Row],[Başlangıç]])*24,(Tablo2[[#This Row],[Bitiş]]-Tablo2[[#This Row],[Başlangıç]])*24)))</f>
        <v>32.900000000023283</v>
      </c>
    </row>
    <row r="1932" spans="1:5" x14ac:dyDescent="0.3">
      <c r="A1932">
        <v>584</v>
      </c>
      <c r="B1932" t="s">
        <v>37</v>
      </c>
      <c r="C1932" s="1">
        <v>44641.611111111109</v>
      </c>
      <c r="D1932" s="1">
        <v>44645.126388888886</v>
      </c>
      <c r="E1932" s="17">
        <f>IF(Tablo2[[#This Row],[Başlangıç]]="","",(IF(Tablo2[[#This Row],[Bitiş]]="",($G$1-Tablo2[[#This Row],[Başlangıç]])*24,(Tablo2[[#This Row],[Bitiş]]-Tablo2[[#This Row],[Başlangıç]])*24)))</f>
        <v>84.366666666639503</v>
      </c>
    </row>
    <row r="1933" spans="1:5" x14ac:dyDescent="0.3">
      <c r="A1933">
        <v>584</v>
      </c>
      <c r="B1933" t="s">
        <v>65</v>
      </c>
      <c r="C1933" s="1">
        <v>44642.541666666664</v>
      </c>
      <c r="D1933" s="1">
        <v>44645.125</v>
      </c>
      <c r="E1933" s="17">
        <f>IF(Tablo2[[#This Row],[Başlangıç]]="","",(IF(Tablo2[[#This Row],[Bitiş]]="",($G$1-Tablo2[[#This Row],[Başlangıç]])*24,(Tablo2[[#This Row],[Bitiş]]-Tablo2[[#This Row],[Başlangıç]])*24)))</f>
        <v>62.000000000058208</v>
      </c>
    </row>
    <row r="1934" spans="1:5" x14ac:dyDescent="0.3">
      <c r="A1934">
        <v>585</v>
      </c>
      <c r="B1934" t="s">
        <v>36</v>
      </c>
      <c r="C1934" s="1">
        <v>44641.086805555555</v>
      </c>
      <c r="D1934" s="1">
        <v>44647.666666666664</v>
      </c>
      <c r="E1934" s="17">
        <f>IF(Tablo2[[#This Row],[Başlangıç]]="","",(IF(Tablo2[[#This Row],[Bitiş]]="",($G$1-Tablo2[[#This Row],[Başlangıç]])*24,(Tablo2[[#This Row],[Bitiş]]-Tablo2[[#This Row],[Başlangıç]])*24)))</f>
        <v>157.91666666662786</v>
      </c>
    </row>
    <row r="1935" spans="1:5" x14ac:dyDescent="0.3">
      <c r="A1935">
        <v>585</v>
      </c>
      <c r="B1935" t="s">
        <v>84</v>
      </c>
      <c r="C1935" s="1">
        <v>44646.166666666664</v>
      </c>
      <c r="D1935" s="1">
        <v>44647.375</v>
      </c>
      <c r="E1935" s="17">
        <f>IF(Tablo2[[#This Row],[Başlangıç]]="","",(IF(Tablo2[[#This Row],[Bitiş]]="",($G$1-Tablo2[[#This Row],[Başlangıç]])*24,(Tablo2[[#This Row],[Bitiş]]-Tablo2[[#This Row],[Başlangıç]])*24)))</f>
        <v>29.000000000058208</v>
      </c>
    </row>
    <row r="1936" spans="1:5" x14ac:dyDescent="0.3">
      <c r="A1936">
        <v>585</v>
      </c>
      <c r="B1936" t="s">
        <v>179</v>
      </c>
      <c r="C1936" s="1">
        <v>44639.916666666664</v>
      </c>
      <c r="D1936" s="1">
        <v>44639.9375</v>
      </c>
      <c r="E19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37" spans="1:5" x14ac:dyDescent="0.3">
      <c r="A1937">
        <v>585</v>
      </c>
      <c r="B1937" t="s">
        <v>68</v>
      </c>
      <c r="C1937" s="1">
        <v>44646.5625</v>
      </c>
      <c r="D1937" s="1">
        <v>44647.6875</v>
      </c>
      <c r="E1937" s="17">
        <f>IF(Tablo2[[#This Row],[Başlangıç]]="","",(IF(Tablo2[[#This Row],[Bitiş]]="",($G$1-Tablo2[[#This Row],[Başlangıç]])*24,(Tablo2[[#This Row],[Bitiş]]-Tablo2[[#This Row],[Başlangıç]])*24)))</f>
        <v>27</v>
      </c>
    </row>
    <row r="1938" spans="1:5" x14ac:dyDescent="0.3">
      <c r="A1938">
        <v>585</v>
      </c>
      <c r="B1938" t="s">
        <v>37</v>
      </c>
      <c r="C1938" s="1">
        <v>44642.4375</v>
      </c>
      <c r="D1938" s="1">
        <v>44647.666666666664</v>
      </c>
      <c r="E1938" s="17">
        <f>IF(Tablo2[[#This Row],[Başlangıç]]="","",(IF(Tablo2[[#This Row],[Bitiş]]="",($G$1-Tablo2[[#This Row],[Başlangıç]])*24,(Tablo2[[#This Row],[Bitiş]]-Tablo2[[#This Row],[Başlangıç]])*24)))</f>
        <v>125.49999999994179</v>
      </c>
    </row>
    <row r="1939" spans="1:5" x14ac:dyDescent="0.3">
      <c r="A1939">
        <v>585</v>
      </c>
      <c r="B1939" t="s">
        <v>65</v>
      </c>
      <c r="C1939" s="1">
        <v>44645.458333333336</v>
      </c>
      <c r="D1939" s="1">
        <v>44647.375</v>
      </c>
      <c r="E1939" s="17">
        <f>IF(Tablo2[[#This Row],[Başlangıç]]="","",(IF(Tablo2[[#This Row],[Bitiş]]="",($G$1-Tablo2[[#This Row],[Başlangıç]])*24,(Tablo2[[#This Row],[Bitiş]]-Tablo2[[#This Row],[Başlangıç]])*24)))</f>
        <v>45.999999999941792</v>
      </c>
    </row>
    <row r="1940" spans="1:5" x14ac:dyDescent="0.3">
      <c r="A1940">
        <v>586</v>
      </c>
      <c r="B1940" t="s">
        <v>36</v>
      </c>
      <c r="C1940" s="1">
        <v>44640.763888888891</v>
      </c>
      <c r="D1940" s="1">
        <v>44642.190972222219</v>
      </c>
      <c r="E1940" s="17">
        <f>IF(Tablo2[[#This Row],[Başlangıç]]="","",(IF(Tablo2[[#This Row],[Bitiş]]="",($G$1-Tablo2[[#This Row],[Başlangıç]])*24,(Tablo2[[#This Row],[Bitiş]]-Tablo2[[#This Row],[Başlangıç]])*24)))</f>
        <v>34.249999999883585</v>
      </c>
    </row>
    <row r="1941" spans="1:5" x14ac:dyDescent="0.3">
      <c r="A1941">
        <v>586</v>
      </c>
      <c r="B1941" t="s">
        <v>84</v>
      </c>
      <c r="C1941" s="1">
        <v>44647.375</v>
      </c>
      <c r="D1941" s="1">
        <v>44648.333333333336</v>
      </c>
      <c r="E1941" s="17">
        <f>IF(Tablo2[[#This Row],[Başlangıç]]="","",(IF(Tablo2[[#This Row],[Bitiş]]="",($G$1-Tablo2[[#This Row],[Başlangıç]])*24,(Tablo2[[#This Row],[Bitiş]]-Tablo2[[#This Row],[Başlangıç]])*24)))</f>
        <v>23.000000000058208</v>
      </c>
    </row>
    <row r="1942" spans="1:5" x14ac:dyDescent="0.3">
      <c r="A1942">
        <v>586</v>
      </c>
      <c r="B1942" t="s">
        <v>179</v>
      </c>
      <c r="C1942" s="1">
        <v>44639.958333333336</v>
      </c>
      <c r="D1942" s="1">
        <v>44639.979166666664</v>
      </c>
      <c r="E194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43" spans="1:5" x14ac:dyDescent="0.3">
      <c r="A1943">
        <v>586</v>
      </c>
      <c r="B1943" t="s">
        <v>68</v>
      </c>
      <c r="C1943" s="1">
        <v>44647.791666666664</v>
      </c>
      <c r="D1943" s="1">
        <v>44648.454861111109</v>
      </c>
      <c r="E1943" s="17">
        <f>IF(Tablo2[[#This Row],[Başlangıç]]="","",(IF(Tablo2[[#This Row],[Bitiş]]="",($G$1-Tablo2[[#This Row],[Başlangıç]])*24,(Tablo2[[#This Row],[Bitiş]]-Tablo2[[#This Row],[Başlangıç]])*24)))</f>
        <v>15.916666666686069</v>
      </c>
    </row>
    <row r="1944" spans="1:5" x14ac:dyDescent="0.3">
      <c r="A1944">
        <v>586</v>
      </c>
      <c r="B1944" t="s">
        <v>37</v>
      </c>
      <c r="C1944" s="1">
        <v>44640.006944444445</v>
      </c>
      <c r="D1944" s="1">
        <v>44648.333333333336</v>
      </c>
      <c r="E1944" s="17">
        <f>IF(Tablo2[[#This Row],[Başlangıç]]="","",(IF(Tablo2[[#This Row],[Bitiş]]="",($G$1-Tablo2[[#This Row],[Başlangıç]])*24,(Tablo2[[#This Row],[Bitiş]]-Tablo2[[#This Row],[Başlangıç]])*24)))</f>
        <v>199.83333333337214</v>
      </c>
    </row>
    <row r="1945" spans="1:5" x14ac:dyDescent="0.3">
      <c r="A1945">
        <v>586</v>
      </c>
      <c r="B1945" t="s">
        <v>65</v>
      </c>
      <c r="C1945" s="1">
        <v>44646.200694444444</v>
      </c>
      <c r="D1945" s="1">
        <v>44648.333333333336</v>
      </c>
      <c r="E1945" s="17">
        <f>IF(Tablo2[[#This Row],[Başlangıç]]="","",(IF(Tablo2[[#This Row],[Bitiş]]="",($G$1-Tablo2[[#This Row],[Başlangıç]])*24,(Tablo2[[#This Row],[Bitiş]]-Tablo2[[#This Row],[Başlangıç]])*24)))</f>
        <v>51.183333333407063</v>
      </c>
    </row>
    <row r="1946" spans="1:5" x14ac:dyDescent="0.3">
      <c r="A1946">
        <v>587</v>
      </c>
      <c r="B1946" t="s">
        <v>36</v>
      </c>
      <c r="C1946" s="1">
        <v>44641.388888888891</v>
      </c>
      <c r="D1946" s="1">
        <v>44648.375</v>
      </c>
      <c r="E1946" s="17">
        <f>IF(Tablo2[[#This Row],[Başlangıç]]="","",(IF(Tablo2[[#This Row],[Bitiş]]="",($G$1-Tablo2[[#This Row],[Başlangıç]])*24,(Tablo2[[#This Row],[Bitiş]]-Tablo2[[#This Row],[Başlangıç]])*24)))</f>
        <v>167.66666666662786</v>
      </c>
    </row>
    <row r="1947" spans="1:5" x14ac:dyDescent="0.3">
      <c r="A1947">
        <v>587</v>
      </c>
      <c r="B1947" t="s">
        <v>84</v>
      </c>
      <c r="C1947" s="1">
        <v>44647.125</v>
      </c>
      <c r="D1947" s="1">
        <v>44649</v>
      </c>
      <c r="E1947" s="17">
        <f>IF(Tablo2[[#This Row],[Başlangıç]]="","",(IF(Tablo2[[#This Row],[Bitiş]]="",($G$1-Tablo2[[#This Row],[Başlangıç]])*24,(Tablo2[[#This Row],[Bitiş]]-Tablo2[[#This Row],[Başlangıç]])*24)))</f>
        <v>45</v>
      </c>
    </row>
    <row r="1948" spans="1:5" x14ac:dyDescent="0.3">
      <c r="A1948">
        <v>587</v>
      </c>
      <c r="B1948" t="s">
        <v>179</v>
      </c>
      <c r="C1948" s="1">
        <v>44640.458333333336</v>
      </c>
      <c r="D1948" s="1">
        <v>44640.479166666664</v>
      </c>
      <c r="E194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49" spans="1:5" x14ac:dyDescent="0.3">
      <c r="A1949">
        <v>587</v>
      </c>
      <c r="B1949" t="s">
        <v>68</v>
      </c>
      <c r="C1949" s="1">
        <v>44647.805555555555</v>
      </c>
      <c r="D1949" s="1">
        <v>44649.375</v>
      </c>
      <c r="E1949" s="17">
        <f>IF(Tablo2[[#This Row],[Başlangıç]]="","",(IF(Tablo2[[#This Row],[Bitiş]]="",($G$1-Tablo2[[#This Row],[Başlangıç]])*24,(Tablo2[[#This Row],[Bitiş]]-Tablo2[[#This Row],[Başlangıç]])*24)))</f>
        <v>37.666666666686069</v>
      </c>
    </row>
    <row r="1950" spans="1:5" x14ac:dyDescent="0.3">
      <c r="A1950">
        <v>587</v>
      </c>
      <c r="B1950" t="s">
        <v>37</v>
      </c>
      <c r="C1950" s="1">
        <v>44640.520833333336</v>
      </c>
      <c r="D1950" s="1">
        <v>44648.236111111109</v>
      </c>
      <c r="E1950" s="17">
        <f>IF(Tablo2[[#This Row],[Başlangıç]]="","",(IF(Tablo2[[#This Row],[Bitiş]]="",($G$1-Tablo2[[#This Row],[Başlangıç]])*24,(Tablo2[[#This Row],[Bitiş]]-Tablo2[[#This Row],[Başlangıç]])*24)))</f>
        <v>185.16666666656965</v>
      </c>
    </row>
    <row r="1951" spans="1:5" x14ac:dyDescent="0.3">
      <c r="A1951">
        <v>587</v>
      </c>
      <c r="B1951" t="s">
        <v>65</v>
      </c>
      <c r="C1951" s="1">
        <v>44646</v>
      </c>
      <c r="D1951" s="1">
        <v>44648.833333333336</v>
      </c>
      <c r="E1951" s="17">
        <f>IF(Tablo2[[#This Row],[Başlangıç]]="","",(IF(Tablo2[[#This Row],[Bitiş]]="",($G$1-Tablo2[[#This Row],[Başlangıç]])*24,(Tablo2[[#This Row],[Bitiş]]-Tablo2[[#This Row],[Başlangıç]])*24)))</f>
        <v>68.000000000058208</v>
      </c>
    </row>
    <row r="1952" spans="1:5" x14ac:dyDescent="0.3">
      <c r="A1952">
        <v>588</v>
      </c>
      <c r="B1952" t="s">
        <v>36</v>
      </c>
      <c r="C1952" s="1">
        <v>44642.767361111109</v>
      </c>
      <c r="D1952" s="1">
        <v>44643.177083333336</v>
      </c>
      <c r="E1952" s="17">
        <f>IF(Tablo2[[#This Row],[Başlangıç]]="","",(IF(Tablo2[[#This Row],[Bitiş]]="",($G$1-Tablo2[[#This Row],[Başlangıç]])*24,(Tablo2[[#This Row],[Bitiş]]-Tablo2[[#This Row],[Başlangıç]])*24)))</f>
        <v>9.8333333334303461</v>
      </c>
    </row>
    <row r="1953" spans="1:5" x14ac:dyDescent="0.3">
      <c r="A1953">
        <v>588</v>
      </c>
      <c r="B1953" t="s">
        <v>84</v>
      </c>
      <c r="C1953" s="1"/>
      <c r="D1953" s="1"/>
      <c r="E1953" s="17" t="str">
        <f>IF(Tablo2[[#This Row],[Başlangıç]]="","",(IF(Tablo2[[#This Row],[Bitiş]]="",($G$1-Tablo2[[#This Row],[Başlangıç]])*24,(Tablo2[[#This Row],[Bitiş]]-Tablo2[[#This Row],[Başlangıç]])*24)))</f>
        <v/>
      </c>
    </row>
    <row r="1954" spans="1:5" x14ac:dyDescent="0.3">
      <c r="A1954">
        <v>588</v>
      </c>
      <c r="B1954" t="s">
        <v>179</v>
      </c>
      <c r="C1954" s="1">
        <v>44641.333333333336</v>
      </c>
      <c r="D1954" s="1">
        <v>44641.354166666664</v>
      </c>
      <c r="E1954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55" spans="1:5" x14ac:dyDescent="0.3">
      <c r="A1955">
        <v>588</v>
      </c>
      <c r="B1955" t="s">
        <v>68</v>
      </c>
      <c r="C1955" s="1"/>
      <c r="D1955" s="1"/>
      <c r="E1955" s="17" t="str">
        <f>IF(Tablo2[[#This Row],[Başlangıç]]="","",(IF(Tablo2[[#This Row],[Bitiş]]="",($G$1-Tablo2[[#This Row],[Başlangıç]])*24,(Tablo2[[#This Row],[Bitiş]]-Tablo2[[#This Row],[Başlangıç]])*24)))</f>
        <v/>
      </c>
    </row>
    <row r="1956" spans="1:5" x14ac:dyDescent="0.3">
      <c r="A1956">
        <v>588</v>
      </c>
      <c r="B1956" t="s">
        <v>37</v>
      </c>
      <c r="C1956" s="1">
        <v>44641.354166666664</v>
      </c>
      <c r="D1956" s="1">
        <v>44641.395833333336</v>
      </c>
      <c r="E1956" s="17">
        <f>IF(Tablo2[[#This Row],[Başlangıç]]="","",(IF(Tablo2[[#This Row],[Bitiş]]="",($G$1-Tablo2[[#This Row],[Başlangıç]])*24,(Tablo2[[#This Row],[Bitiş]]-Tablo2[[#This Row],[Başlangıç]])*24)))</f>
        <v>1.0000000001164153</v>
      </c>
    </row>
    <row r="1957" spans="1:5" x14ac:dyDescent="0.3">
      <c r="A1957">
        <v>588</v>
      </c>
      <c r="B1957" t="s">
        <v>65</v>
      </c>
      <c r="C1957" s="1"/>
      <c r="D1957" s="1"/>
      <c r="E1957" s="17" t="str">
        <f>IF(Tablo2[[#This Row],[Başlangıç]]="","",(IF(Tablo2[[#This Row],[Bitiş]]="",($G$1-Tablo2[[#This Row],[Başlangıç]])*24,(Tablo2[[#This Row],[Bitiş]]-Tablo2[[#This Row],[Başlangıç]])*24)))</f>
        <v/>
      </c>
    </row>
    <row r="1958" spans="1:5" x14ac:dyDescent="0.3">
      <c r="A1958">
        <v>589</v>
      </c>
      <c r="B1958" t="s">
        <v>36</v>
      </c>
      <c r="C1958" s="1">
        <v>44643.347222222219</v>
      </c>
      <c r="D1958" s="1">
        <v>44643.642361111109</v>
      </c>
      <c r="E1958" s="17">
        <f>IF(Tablo2[[#This Row],[Başlangıç]]="","",(IF(Tablo2[[#This Row],[Bitiş]]="",($G$1-Tablo2[[#This Row],[Başlangıç]])*24,(Tablo2[[#This Row],[Bitiş]]-Tablo2[[#This Row],[Başlangıç]])*24)))</f>
        <v>7.0833333333721384</v>
      </c>
    </row>
    <row r="1959" spans="1:5" x14ac:dyDescent="0.3">
      <c r="A1959">
        <v>589</v>
      </c>
      <c r="B1959" t="s">
        <v>84</v>
      </c>
      <c r="C1959" s="1">
        <v>44648.854166666664</v>
      </c>
      <c r="D1959" s="1">
        <v>44650</v>
      </c>
      <c r="E1959" s="17">
        <f>IF(Tablo2[[#This Row],[Başlangıç]]="","",(IF(Tablo2[[#This Row],[Bitiş]]="",($G$1-Tablo2[[#This Row],[Başlangıç]])*24,(Tablo2[[#This Row],[Bitiş]]-Tablo2[[#This Row],[Başlangıç]])*24)))</f>
        <v>27.500000000058208</v>
      </c>
    </row>
    <row r="1960" spans="1:5" x14ac:dyDescent="0.3">
      <c r="A1960">
        <v>589</v>
      </c>
      <c r="B1960" t="s">
        <v>179</v>
      </c>
      <c r="C1960" s="1">
        <v>44641.955555555556</v>
      </c>
      <c r="D1960" s="1">
        <v>44641.976388888892</v>
      </c>
      <c r="E196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61" spans="1:5" x14ac:dyDescent="0.3">
      <c r="A1961">
        <v>589</v>
      </c>
      <c r="B1961" t="s">
        <v>68</v>
      </c>
      <c r="C1961" s="1">
        <v>44649.354166666664</v>
      </c>
      <c r="D1961" s="1">
        <v>44650.045138888891</v>
      </c>
      <c r="E1961" s="17">
        <f>IF(Tablo2[[#This Row],[Başlangıç]]="","",(IF(Tablo2[[#This Row],[Bitiş]]="",($G$1-Tablo2[[#This Row],[Başlangıç]])*24,(Tablo2[[#This Row],[Bitiş]]-Tablo2[[#This Row],[Başlangıç]])*24)))</f>
        <v>16.583333333430346</v>
      </c>
    </row>
    <row r="1962" spans="1:5" x14ac:dyDescent="0.3">
      <c r="A1962">
        <v>589</v>
      </c>
      <c r="B1962" t="s">
        <v>37</v>
      </c>
      <c r="C1962" s="1">
        <v>44642.114583333336</v>
      </c>
      <c r="D1962" s="1">
        <v>44650</v>
      </c>
      <c r="E1962" s="17">
        <f>IF(Tablo2[[#This Row],[Başlangıç]]="","",(IF(Tablo2[[#This Row],[Bitiş]]="",($G$1-Tablo2[[#This Row],[Başlangıç]])*24,(Tablo2[[#This Row],[Bitiş]]-Tablo2[[#This Row],[Başlangıç]])*24)))</f>
        <v>189.24999999994179</v>
      </c>
    </row>
    <row r="1963" spans="1:5" x14ac:dyDescent="0.3">
      <c r="A1963">
        <v>589</v>
      </c>
      <c r="B1963" t="s">
        <v>65</v>
      </c>
      <c r="C1963" s="1">
        <v>44648.34375</v>
      </c>
      <c r="D1963" s="1">
        <v>44649.333333333336</v>
      </c>
      <c r="E1963" s="17">
        <f>IF(Tablo2[[#This Row],[Başlangıç]]="","",(IF(Tablo2[[#This Row],[Bitiş]]="",($G$1-Tablo2[[#This Row],[Başlangıç]])*24,(Tablo2[[#This Row],[Bitiş]]-Tablo2[[#This Row],[Başlangıç]])*24)))</f>
        <v>23.750000000058208</v>
      </c>
    </row>
    <row r="1964" spans="1:5" x14ac:dyDescent="0.3">
      <c r="A1964">
        <v>590</v>
      </c>
      <c r="B1964" t="s">
        <v>36</v>
      </c>
      <c r="C1964" s="1">
        <v>44643.027777777781</v>
      </c>
      <c r="D1964" s="1">
        <v>44644.131944444445</v>
      </c>
      <c r="E1964" s="17">
        <f>IF(Tablo2[[#This Row],[Başlangıç]]="","",(IF(Tablo2[[#This Row],[Bitiş]]="",($G$1-Tablo2[[#This Row],[Başlangıç]])*24,(Tablo2[[#This Row],[Bitiş]]-Tablo2[[#This Row],[Başlangıç]])*24)))</f>
        <v>26.499999999941792</v>
      </c>
    </row>
    <row r="1965" spans="1:5" x14ac:dyDescent="0.3">
      <c r="A1965">
        <v>590</v>
      </c>
      <c r="B1965" t="s">
        <v>84</v>
      </c>
      <c r="C1965" s="1">
        <v>44648.354166666664</v>
      </c>
      <c r="D1965" s="1">
        <v>44650.333333333336</v>
      </c>
      <c r="E1965" s="17">
        <f>IF(Tablo2[[#This Row],[Başlangıç]]="","",(IF(Tablo2[[#This Row],[Bitiş]]="",($G$1-Tablo2[[#This Row],[Başlangıç]])*24,(Tablo2[[#This Row],[Bitiş]]-Tablo2[[#This Row],[Başlangıç]])*24)))</f>
        <v>47.500000000116415</v>
      </c>
    </row>
    <row r="1966" spans="1:5" x14ac:dyDescent="0.3">
      <c r="A1966">
        <v>590</v>
      </c>
      <c r="B1966" t="s">
        <v>179</v>
      </c>
      <c r="C1966" s="1">
        <v>44642.864583333336</v>
      </c>
      <c r="D1966" s="1">
        <v>44642.885416666664</v>
      </c>
      <c r="E196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67" spans="1:5" x14ac:dyDescent="0.3">
      <c r="A1967">
        <v>590</v>
      </c>
      <c r="B1967" t="s">
        <v>68</v>
      </c>
      <c r="C1967" s="1">
        <v>44648.474305555559</v>
      </c>
      <c r="D1967" s="1">
        <v>44650.885416666664</v>
      </c>
      <c r="E1967" s="17">
        <f>IF(Tablo2[[#This Row],[Başlangıç]]="","",(IF(Tablo2[[#This Row],[Bitiş]]="",($G$1-Tablo2[[#This Row],[Başlangıç]])*24,(Tablo2[[#This Row],[Bitiş]]-Tablo2[[#This Row],[Başlangıç]])*24)))</f>
        <v>57.866666666523088</v>
      </c>
    </row>
    <row r="1968" spans="1:5" x14ac:dyDescent="0.3">
      <c r="A1968">
        <v>590</v>
      </c>
      <c r="B1968" t="s">
        <v>37</v>
      </c>
      <c r="C1968" s="1">
        <v>44645.46875</v>
      </c>
      <c r="D1968" s="1">
        <v>44649.666666666664</v>
      </c>
      <c r="E1968" s="17">
        <f>IF(Tablo2[[#This Row],[Başlangıç]]="","",(IF(Tablo2[[#This Row],[Bitiş]]="",($G$1-Tablo2[[#This Row],[Başlangıç]])*24,(Tablo2[[#This Row],[Bitiş]]-Tablo2[[#This Row],[Başlangıç]])*24)))</f>
        <v>100.74999999994179</v>
      </c>
    </row>
    <row r="1969" spans="1:5" x14ac:dyDescent="0.3">
      <c r="A1969">
        <v>590</v>
      </c>
      <c r="B1969" t="s">
        <v>65</v>
      </c>
      <c r="C1969" s="1">
        <v>44647.34375</v>
      </c>
      <c r="D1969" s="1">
        <v>44650.333333333336</v>
      </c>
      <c r="E1969" s="17">
        <f>IF(Tablo2[[#This Row],[Başlangıç]]="","",(IF(Tablo2[[#This Row],[Bitiş]]="",($G$1-Tablo2[[#This Row],[Başlangıç]])*24,(Tablo2[[#This Row],[Bitiş]]-Tablo2[[#This Row],[Başlangıç]])*24)))</f>
        <v>71.750000000058208</v>
      </c>
    </row>
    <row r="1970" spans="1:5" x14ac:dyDescent="0.3">
      <c r="A1970">
        <v>591</v>
      </c>
      <c r="B1970" t="s">
        <v>36</v>
      </c>
      <c r="C1970" s="1">
        <v>44643.791666666664</v>
      </c>
      <c r="D1970" s="1">
        <v>44644.743055555555</v>
      </c>
      <c r="E1970" s="17">
        <f>IF(Tablo2[[#This Row],[Başlangıç]]="","",(IF(Tablo2[[#This Row],[Bitiş]]="",($G$1-Tablo2[[#This Row],[Başlangıç]])*24,(Tablo2[[#This Row],[Bitiş]]-Tablo2[[#This Row],[Başlangıç]])*24)))</f>
        <v>22.833333333372138</v>
      </c>
    </row>
    <row r="1971" spans="1:5" x14ac:dyDescent="0.3">
      <c r="A1971">
        <v>591</v>
      </c>
      <c r="B1971" t="s">
        <v>84</v>
      </c>
      <c r="C1971" s="1">
        <v>44648.256944444445</v>
      </c>
      <c r="D1971" s="1">
        <v>44649.875</v>
      </c>
      <c r="E1971" s="17">
        <f>IF(Tablo2[[#This Row],[Başlangıç]]="","",(IF(Tablo2[[#This Row],[Bitiş]]="",($G$1-Tablo2[[#This Row],[Başlangıç]])*24,(Tablo2[[#This Row],[Bitiş]]-Tablo2[[#This Row],[Başlangıç]])*24)))</f>
        <v>38.833333333313931</v>
      </c>
    </row>
    <row r="1972" spans="1:5" x14ac:dyDescent="0.3">
      <c r="A1972">
        <v>591</v>
      </c>
      <c r="B1972" t="s">
        <v>179</v>
      </c>
      <c r="C1972" s="1">
        <v>44643.416666666664</v>
      </c>
      <c r="D1972" s="1">
        <v>44643.4375</v>
      </c>
      <c r="E197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73" spans="1:5" x14ac:dyDescent="0.3">
      <c r="A1973">
        <v>591</v>
      </c>
      <c r="B1973" t="s">
        <v>68</v>
      </c>
      <c r="C1973" s="1">
        <v>44648.645833333336</v>
      </c>
      <c r="D1973" s="1">
        <v>44650.041666666664</v>
      </c>
      <c r="E1973" s="17">
        <f>IF(Tablo2[[#This Row],[Başlangıç]]="","",(IF(Tablo2[[#This Row],[Bitiş]]="",($G$1-Tablo2[[#This Row],[Başlangıç]])*24,(Tablo2[[#This Row],[Bitiş]]-Tablo2[[#This Row],[Başlangıç]])*24)))</f>
        <v>33.499999999883585</v>
      </c>
    </row>
    <row r="1974" spans="1:5" x14ac:dyDescent="0.3">
      <c r="A1974">
        <v>591</v>
      </c>
      <c r="B1974" t="s">
        <v>37</v>
      </c>
      <c r="C1974" s="1">
        <v>44619.513888888891</v>
      </c>
      <c r="D1974" s="1">
        <v>44649.333333333336</v>
      </c>
      <c r="E1974" s="17">
        <f>IF(Tablo2[[#This Row],[Başlangıç]]="","",(IF(Tablo2[[#This Row],[Bitiş]]="",($G$1-Tablo2[[#This Row],[Başlangıç]])*24,(Tablo2[[#This Row],[Bitiş]]-Tablo2[[#This Row],[Başlangıç]])*24)))</f>
        <v>715.66666666668607</v>
      </c>
    </row>
    <row r="1975" spans="1:5" x14ac:dyDescent="0.3">
      <c r="A1975">
        <v>591</v>
      </c>
      <c r="B1975" t="s">
        <v>65</v>
      </c>
      <c r="C1975" s="1">
        <v>44646.791666666664</v>
      </c>
      <c r="D1975" s="1">
        <v>44648.333333333336</v>
      </c>
      <c r="E1975" s="17">
        <f>IF(Tablo2[[#This Row],[Başlangıç]]="","",(IF(Tablo2[[#This Row],[Bitiş]]="",($G$1-Tablo2[[#This Row],[Başlangıç]])*24,(Tablo2[[#This Row],[Bitiş]]-Tablo2[[#This Row],[Başlangıç]])*24)))</f>
        <v>37.000000000116415</v>
      </c>
    </row>
    <row r="1976" spans="1:5" x14ac:dyDescent="0.3">
      <c r="A1976">
        <v>592</v>
      </c>
      <c r="B1976" t="s">
        <v>36</v>
      </c>
      <c r="C1976" s="1">
        <v>44644.1875</v>
      </c>
      <c r="D1976" s="1">
        <v>44645.232638888891</v>
      </c>
      <c r="E1976" s="17">
        <f>IF(Tablo2[[#This Row],[Başlangıç]]="","",(IF(Tablo2[[#This Row],[Bitiş]]="",($G$1-Tablo2[[#This Row],[Başlangıç]])*24,(Tablo2[[#This Row],[Bitiş]]-Tablo2[[#This Row],[Başlangıç]])*24)))</f>
        <v>25.083333333372138</v>
      </c>
    </row>
    <row r="1977" spans="1:5" x14ac:dyDescent="0.3">
      <c r="A1977">
        <v>592</v>
      </c>
      <c r="B1977" t="s">
        <v>84</v>
      </c>
      <c r="C1977" s="1">
        <v>44649.090277777781</v>
      </c>
      <c r="D1977" s="1">
        <v>44650.958333333336</v>
      </c>
      <c r="E1977" s="17">
        <f>IF(Tablo2[[#This Row],[Başlangıç]]="","",(IF(Tablo2[[#This Row],[Bitiş]]="",($G$1-Tablo2[[#This Row],[Başlangıç]])*24,(Tablo2[[#This Row],[Bitiş]]-Tablo2[[#This Row],[Başlangıç]])*24)))</f>
        <v>44.833333333313931</v>
      </c>
    </row>
    <row r="1978" spans="1:5" x14ac:dyDescent="0.3">
      <c r="A1978">
        <v>592</v>
      </c>
      <c r="B1978" t="s">
        <v>179</v>
      </c>
      <c r="C1978" s="1">
        <v>44643.856944444444</v>
      </c>
      <c r="D1978" s="1">
        <v>44643.87777777778</v>
      </c>
      <c r="E197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79" spans="1:5" x14ac:dyDescent="0.3">
      <c r="A1979">
        <v>592</v>
      </c>
      <c r="B1979" t="s">
        <v>68</v>
      </c>
      <c r="C1979" s="1">
        <v>44646.760416666664</v>
      </c>
      <c r="D1979" s="1">
        <v>44651.989583333336</v>
      </c>
      <c r="E1979" s="17">
        <f>IF(Tablo2[[#This Row],[Başlangıç]]="","",(IF(Tablo2[[#This Row],[Bitiş]]="",($G$1-Tablo2[[#This Row],[Başlangıç]])*24,(Tablo2[[#This Row],[Bitiş]]-Tablo2[[#This Row],[Başlangıç]])*24)))</f>
        <v>125.50000000011642</v>
      </c>
    </row>
    <row r="1980" spans="1:5" x14ac:dyDescent="0.3">
      <c r="A1980">
        <v>592</v>
      </c>
      <c r="B1980" t="s">
        <v>37</v>
      </c>
      <c r="C1980" s="1">
        <v>44646.394444444442</v>
      </c>
      <c r="D1980" s="1">
        <v>44651.0625</v>
      </c>
      <c r="E1980" s="17">
        <f>IF(Tablo2[[#This Row],[Başlangıç]]="","",(IF(Tablo2[[#This Row],[Bitiş]]="",($G$1-Tablo2[[#This Row],[Başlangıç]])*24,(Tablo2[[#This Row],[Bitiş]]-Tablo2[[#This Row],[Başlangıç]])*24)))</f>
        <v>112.03333333338378</v>
      </c>
    </row>
    <row r="1981" spans="1:5" x14ac:dyDescent="0.3">
      <c r="A1981">
        <v>592</v>
      </c>
      <c r="B1981" t="s">
        <v>65</v>
      </c>
      <c r="C1981" s="1">
        <v>44648.0625</v>
      </c>
      <c r="D1981" s="1">
        <v>44649.333333333336</v>
      </c>
      <c r="E1981" s="17">
        <f>IF(Tablo2[[#This Row],[Başlangıç]]="","",(IF(Tablo2[[#This Row],[Bitiş]]="",($G$1-Tablo2[[#This Row],[Başlangıç]])*24,(Tablo2[[#This Row],[Bitiş]]-Tablo2[[#This Row],[Başlangıç]])*24)))</f>
        <v>30.500000000058208</v>
      </c>
    </row>
    <row r="1982" spans="1:5" x14ac:dyDescent="0.3">
      <c r="A1982">
        <v>593</v>
      </c>
      <c r="B1982" t="s">
        <v>36</v>
      </c>
      <c r="C1982" s="1">
        <v>44644.680555555555</v>
      </c>
      <c r="D1982" s="1">
        <v>44652</v>
      </c>
      <c r="E1982" s="17">
        <f>IF(Tablo2[[#This Row],[Başlangıç]]="","",(IF(Tablo2[[#This Row],[Bitiş]]="",($G$1-Tablo2[[#This Row],[Başlangıç]])*24,(Tablo2[[#This Row],[Bitiş]]-Tablo2[[#This Row],[Başlangıç]])*24)))</f>
        <v>175.66666666668607</v>
      </c>
    </row>
    <row r="1983" spans="1:5" x14ac:dyDescent="0.3">
      <c r="A1983">
        <v>593</v>
      </c>
      <c r="B1983" t="s">
        <v>84</v>
      </c>
      <c r="C1983" s="1">
        <v>44565</v>
      </c>
      <c r="D1983" s="1">
        <v>44652</v>
      </c>
      <c r="E1983" s="17">
        <f>IF(Tablo2[[#This Row],[Başlangıç]]="","",(IF(Tablo2[[#This Row],[Bitiş]]="",($G$1-Tablo2[[#This Row],[Başlangıç]])*24,(Tablo2[[#This Row],[Bitiş]]-Tablo2[[#This Row],[Başlangıç]])*24)))</f>
        <v>2088</v>
      </c>
    </row>
    <row r="1984" spans="1:5" x14ac:dyDescent="0.3">
      <c r="A1984">
        <v>593</v>
      </c>
      <c r="B1984" t="s">
        <v>179</v>
      </c>
      <c r="C1984" s="1">
        <v>44642.106944444444</v>
      </c>
      <c r="D1984" s="1">
        <v>44642.12777777778</v>
      </c>
      <c r="E198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85" spans="1:5" x14ac:dyDescent="0.3">
      <c r="A1985">
        <v>593</v>
      </c>
      <c r="B1985" t="s">
        <v>68</v>
      </c>
      <c r="C1985" s="1">
        <v>44593</v>
      </c>
      <c r="D1985" s="1">
        <v>44652.690972222219</v>
      </c>
      <c r="E1985" s="17">
        <f>IF(Tablo2[[#This Row],[Başlangıç]]="","",(IF(Tablo2[[#This Row],[Bitiş]]="",($G$1-Tablo2[[#This Row],[Başlangıç]])*24,(Tablo2[[#This Row],[Bitiş]]-Tablo2[[#This Row],[Başlangıç]])*24)))</f>
        <v>1432.5833333332557</v>
      </c>
    </row>
    <row r="1986" spans="1:5" x14ac:dyDescent="0.3">
      <c r="A1986">
        <v>593</v>
      </c>
      <c r="B1986" t="s">
        <v>37</v>
      </c>
      <c r="C1986" s="1">
        <v>44644.114583333336</v>
      </c>
      <c r="D1986" s="1">
        <v>44651.986111111109</v>
      </c>
      <c r="E1986" s="17">
        <f>IF(Tablo2[[#This Row],[Başlangıç]]="","",(IF(Tablo2[[#This Row],[Bitiş]]="",($G$1-Tablo2[[#This Row],[Başlangıç]])*24,(Tablo2[[#This Row],[Bitiş]]-Tablo2[[#This Row],[Başlangıç]])*24)))</f>
        <v>188.91666666656965</v>
      </c>
    </row>
    <row r="1987" spans="1:5" x14ac:dyDescent="0.3">
      <c r="A1987">
        <v>593</v>
      </c>
      <c r="B1987" t="s">
        <v>65</v>
      </c>
      <c r="C1987" s="1">
        <v>44649.041666666664</v>
      </c>
      <c r="D1987" s="1">
        <v>44649.847222222219</v>
      </c>
      <c r="E1987" s="17">
        <f>IF(Tablo2[[#This Row],[Başlangıç]]="","",(IF(Tablo2[[#This Row],[Bitiş]]="",($G$1-Tablo2[[#This Row],[Başlangıç]])*24,(Tablo2[[#This Row],[Bitiş]]-Tablo2[[#This Row],[Başlangıç]])*24)))</f>
        <v>19.333333333313931</v>
      </c>
    </row>
    <row r="1988" spans="1:5" x14ac:dyDescent="0.3">
      <c r="A1988">
        <v>594</v>
      </c>
      <c r="B1988" t="s">
        <v>36</v>
      </c>
      <c r="C1988" s="1">
        <v>44645.104166666664</v>
      </c>
      <c r="D1988" s="1">
        <v>44645.996527777781</v>
      </c>
      <c r="E1988" s="17">
        <f>IF(Tablo2[[#This Row],[Başlangıç]]="","",(IF(Tablo2[[#This Row],[Bitiş]]="",($G$1-Tablo2[[#This Row],[Başlangıç]])*24,(Tablo2[[#This Row],[Bitiş]]-Tablo2[[#This Row],[Başlangıç]])*24)))</f>
        <v>21.416666666802485</v>
      </c>
    </row>
    <row r="1989" spans="1:5" x14ac:dyDescent="0.3">
      <c r="A1989">
        <v>594</v>
      </c>
      <c r="B1989" t="s">
        <v>84</v>
      </c>
      <c r="C1989" s="1">
        <v>44649.618055555555</v>
      </c>
      <c r="D1989" s="1">
        <v>44650.5</v>
      </c>
      <c r="E1989" s="17">
        <f>IF(Tablo2[[#This Row],[Başlangıç]]="","",(IF(Tablo2[[#This Row],[Bitiş]]="",($G$1-Tablo2[[#This Row],[Başlangıç]])*24,(Tablo2[[#This Row],[Bitiş]]-Tablo2[[#This Row],[Başlangıç]])*24)))</f>
        <v>21.166666666686069</v>
      </c>
    </row>
    <row r="1990" spans="1:5" x14ac:dyDescent="0.3">
      <c r="A1990">
        <v>594</v>
      </c>
      <c r="B1990" t="s">
        <v>179</v>
      </c>
      <c r="C1990" s="1">
        <v>44644.833333333336</v>
      </c>
      <c r="D1990" s="1">
        <v>44644.854166666664</v>
      </c>
      <c r="E199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1991" spans="1:5" x14ac:dyDescent="0.3">
      <c r="A1991">
        <v>594</v>
      </c>
      <c r="B1991" t="s">
        <v>68</v>
      </c>
      <c r="C1991" s="1">
        <v>44650</v>
      </c>
      <c r="D1991" s="1">
        <v>44650.875</v>
      </c>
      <c r="E1991" s="17">
        <f>IF(Tablo2[[#This Row],[Başlangıç]]="","",(IF(Tablo2[[#This Row],[Bitiş]]="",($G$1-Tablo2[[#This Row],[Başlangıç]])*24,(Tablo2[[#This Row],[Bitiş]]-Tablo2[[#This Row],[Başlangıç]])*24)))</f>
        <v>21</v>
      </c>
    </row>
    <row r="1992" spans="1:5" x14ac:dyDescent="0.3">
      <c r="A1992">
        <v>594</v>
      </c>
      <c r="B1992" t="s">
        <v>37</v>
      </c>
      <c r="C1992" s="1">
        <v>44644.84375</v>
      </c>
      <c r="D1992" s="1">
        <v>44650.395833333336</v>
      </c>
      <c r="E1992" s="17">
        <f>IF(Tablo2[[#This Row],[Başlangıç]]="","",(IF(Tablo2[[#This Row],[Bitiş]]="",($G$1-Tablo2[[#This Row],[Başlangıç]])*24,(Tablo2[[#This Row],[Bitiş]]-Tablo2[[#This Row],[Başlangıç]])*24)))</f>
        <v>133.25000000005821</v>
      </c>
    </row>
    <row r="1993" spans="1:5" x14ac:dyDescent="0.3">
      <c r="A1993">
        <v>594</v>
      </c>
      <c r="B1993" t="s">
        <v>65</v>
      </c>
      <c r="C1993" s="1">
        <v>44649.020833333336</v>
      </c>
      <c r="D1993" s="1">
        <v>44650.375</v>
      </c>
      <c r="E1993" s="17">
        <f>IF(Tablo2[[#This Row],[Başlangıç]]="","",(IF(Tablo2[[#This Row],[Bitiş]]="",($G$1-Tablo2[[#This Row],[Başlangıç]])*24,(Tablo2[[#This Row],[Bitiş]]-Tablo2[[#This Row],[Başlangıç]])*24)))</f>
        <v>32.499999999941792</v>
      </c>
    </row>
    <row r="1994" spans="1:5" x14ac:dyDescent="0.3">
      <c r="A1994">
        <v>595</v>
      </c>
      <c r="B1994" t="s">
        <v>36</v>
      </c>
      <c r="C1994" s="1">
        <v>44645.513888888891</v>
      </c>
      <c r="D1994" s="1">
        <v>44646.4375</v>
      </c>
      <c r="E1994" s="17">
        <f>IF(Tablo2[[#This Row],[Başlangıç]]="","",(IF(Tablo2[[#This Row],[Bitiş]]="",($G$1-Tablo2[[#This Row],[Başlangıç]])*24,(Tablo2[[#This Row],[Bitiş]]-Tablo2[[#This Row],[Başlangıç]])*24)))</f>
        <v>22.166666666627862</v>
      </c>
    </row>
    <row r="1995" spans="1:5" x14ac:dyDescent="0.3">
      <c r="A1995">
        <v>595</v>
      </c>
      <c r="B1995" t="s">
        <v>84</v>
      </c>
      <c r="C1995" s="1">
        <v>44650.364583333336</v>
      </c>
      <c r="D1995" s="1">
        <v>44651.431250000001</v>
      </c>
      <c r="E1995" s="17">
        <f>IF(Tablo2[[#This Row],[Başlangıç]]="","",(IF(Tablo2[[#This Row],[Bitiş]]="",($G$1-Tablo2[[#This Row],[Başlangıç]])*24,(Tablo2[[#This Row],[Bitiş]]-Tablo2[[#This Row],[Başlangıç]])*24)))</f>
        <v>25.599999999976717</v>
      </c>
    </row>
    <row r="1996" spans="1:5" x14ac:dyDescent="0.3">
      <c r="A1996">
        <v>595</v>
      </c>
      <c r="B1996" t="s">
        <v>179</v>
      </c>
      <c r="C1996" s="1">
        <v>44644.731944444444</v>
      </c>
      <c r="D1996" s="1">
        <v>44644.75277777778</v>
      </c>
      <c r="E199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1997" spans="1:5" x14ac:dyDescent="0.3">
      <c r="A1997">
        <v>595</v>
      </c>
      <c r="B1997" t="s">
        <v>68</v>
      </c>
      <c r="C1997" s="1">
        <v>44650.916666666664</v>
      </c>
      <c r="D1997" s="1">
        <v>44651.850694444445</v>
      </c>
      <c r="E1997" s="17">
        <f>IF(Tablo2[[#This Row],[Başlangıç]]="","",(IF(Tablo2[[#This Row],[Bitiş]]="",($G$1-Tablo2[[#This Row],[Başlangıç]])*24,(Tablo2[[#This Row],[Bitiş]]-Tablo2[[#This Row],[Başlangıç]])*24)))</f>
        <v>22.416666666744277</v>
      </c>
    </row>
    <row r="1998" spans="1:5" x14ac:dyDescent="0.3">
      <c r="A1998">
        <v>595</v>
      </c>
      <c r="B1998" t="s">
        <v>37</v>
      </c>
      <c r="C1998" s="1">
        <v>44645.197916666664</v>
      </c>
      <c r="D1998" s="1">
        <v>44651.375</v>
      </c>
      <c r="E1998" s="17">
        <f>IF(Tablo2[[#This Row],[Başlangıç]]="","",(IF(Tablo2[[#This Row],[Bitiş]]="",($G$1-Tablo2[[#This Row],[Başlangıç]])*24,(Tablo2[[#This Row],[Bitiş]]-Tablo2[[#This Row],[Başlangıç]])*24)))</f>
        <v>148.25000000005821</v>
      </c>
    </row>
    <row r="1999" spans="1:5" x14ac:dyDescent="0.3">
      <c r="A1999">
        <v>595</v>
      </c>
      <c r="B1999" t="s">
        <v>65</v>
      </c>
      <c r="C1999" s="1">
        <v>44649.833333333336</v>
      </c>
      <c r="D1999" s="1">
        <v>44651.354166666664</v>
      </c>
      <c r="E1999" s="17">
        <f>IF(Tablo2[[#This Row],[Başlangıç]]="","",(IF(Tablo2[[#This Row],[Bitiş]]="",($G$1-Tablo2[[#This Row],[Başlangıç]])*24,(Tablo2[[#This Row],[Bitiş]]-Tablo2[[#This Row],[Başlangıç]])*24)))</f>
        <v>36.499999999883585</v>
      </c>
    </row>
    <row r="2000" spans="1:5" x14ac:dyDescent="0.3">
      <c r="A2000">
        <v>596</v>
      </c>
      <c r="B2000" t="s">
        <v>36</v>
      </c>
      <c r="C2000" s="1">
        <v>44647.083333333336</v>
      </c>
      <c r="D2000" s="1">
        <v>44647.46875</v>
      </c>
      <c r="E2000" s="17">
        <f>IF(Tablo2[[#This Row],[Başlangıç]]="","",(IF(Tablo2[[#This Row],[Bitiş]]="",($G$1-Tablo2[[#This Row],[Başlangıç]])*24,(Tablo2[[#This Row],[Bitiş]]-Tablo2[[#This Row],[Başlangıç]])*24)))</f>
        <v>9.2499999999417923</v>
      </c>
    </row>
    <row r="2001" spans="1:5" x14ac:dyDescent="0.3">
      <c r="A2001">
        <v>596</v>
      </c>
      <c r="B2001" t="s">
        <v>84</v>
      </c>
      <c r="C2001" s="1"/>
      <c r="D2001" s="1"/>
      <c r="E2001" s="17" t="str">
        <f>IF(Tablo2[[#This Row],[Başlangıç]]="","",(IF(Tablo2[[#This Row],[Bitiş]]="",($G$1-Tablo2[[#This Row],[Başlangıç]])*24,(Tablo2[[#This Row],[Bitiş]]-Tablo2[[#This Row],[Başlangıç]])*24)))</f>
        <v/>
      </c>
    </row>
    <row r="2002" spans="1:5" x14ac:dyDescent="0.3">
      <c r="A2002">
        <v>596</v>
      </c>
      <c r="B2002" t="s">
        <v>179</v>
      </c>
      <c r="C2002" s="1">
        <v>44645.833333333336</v>
      </c>
      <c r="D2002" s="1">
        <v>44645.854166666664</v>
      </c>
      <c r="E200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003" spans="1:5" x14ac:dyDescent="0.3">
      <c r="A2003">
        <v>596</v>
      </c>
      <c r="B2003" t="s">
        <v>68</v>
      </c>
      <c r="C2003" s="1"/>
      <c r="D2003" s="1"/>
      <c r="E2003" s="17" t="str">
        <f>IF(Tablo2[[#This Row],[Başlangıç]]="","",(IF(Tablo2[[#This Row],[Bitiş]]="",($G$1-Tablo2[[#This Row],[Başlangıç]])*24,(Tablo2[[#This Row],[Bitiş]]-Tablo2[[#This Row],[Başlangıç]])*24)))</f>
        <v/>
      </c>
    </row>
    <row r="2004" spans="1:5" x14ac:dyDescent="0.3">
      <c r="A2004">
        <v>596</v>
      </c>
      <c r="B2004" t="s">
        <v>37</v>
      </c>
      <c r="C2004" s="1">
        <v>44645.815972222219</v>
      </c>
      <c r="D2004" s="1">
        <v>44645.861111111109</v>
      </c>
      <c r="E2004" s="17">
        <f>IF(Tablo2[[#This Row],[Başlangıç]]="","",(IF(Tablo2[[#This Row],[Bitiş]]="",($G$1-Tablo2[[#This Row],[Başlangıç]])*24,(Tablo2[[#This Row],[Bitiş]]-Tablo2[[#This Row],[Başlangıç]])*24)))</f>
        <v>1.0833333333721384</v>
      </c>
    </row>
    <row r="2005" spans="1:5" x14ac:dyDescent="0.3">
      <c r="A2005">
        <v>596</v>
      </c>
      <c r="B2005" t="s">
        <v>65</v>
      </c>
      <c r="C2005" s="1"/>
      <c r="D2005" s="1"/>
      <c r="E2005" s="17" t="str">
        <f>IF(Tablo2[[#This Row],[Başlangıç]]="","",(IF(Tablo2[[#This Row],[Bitiş]]="",($G$1-Tablo2[[#This Row],[Başlangıç]])*24,(Tablo2[[#This Row],[Bitiş]]-Tablo2[[#This Row],[Başlangıç]])*24)))</f>
        <v/>
      </c>
    </row>
    <row r="2006" spans="1:5" x14ac:dyDescent="0.3">
      <c r="A2006">
        <v>597</v>
      </c>
      <c r="B2006" t="s">
        <v>36</v>
      </c>
      <c r="C2006" s="1">
        <v>44646.486111111109</v>
      </c>
      <c r="D2006" s="1">
        <v>44648.291666666664</v>
      </c>
      <c r="E2006" s="17">
        <f>IF(Tablo2[[#This Row],[Başlangıç]]="","",(IF(Tablo2[[#This Row],[Bitiş]]="",($G$1-Tablo2[[#This Row],[Başlangıç]])*24,(Tablo2[[#This Row],[Bitiş]]-Tablo2[[#This Row],[Başlangıç]])*24)))</f>
        <v>43.333333333313931</v>
      </c>
    </row>
    <row r="2007" spans="1:5" x14ac:dyDescent="0.3">
      <c r="A2007">
        <v>597</v>
      </c>
      <c r="B2007" t="s">
        <v>84</v>
      </c>
      <c r="C2007" s="1">
        <v>44651.0625</v>
      </c>
      <c r="D2007" s="1">
        <v>44652</v>
      </c>
      <c r="E2007" s="17">
        <f>IF(Tablo2[[#This Row],[Başlangıç]]="","",(IF(Tablo2[[#This Row],[Bitiş]]="",($G$1-Tablo2[[#This Row],[Başlangıç]])*24,(Tablo2[[#This Row],[Bitiş]]-Tablo2[[#This Row],[Başlangıç]])*24)))</f>
        <v>22.5</v>
      </c>
    </row>
    <row r="2008" spans="1:5" x14ac:dyDescent="0.3">
      <c r="A2008">
        <v>597</v>
      </c>
      <c r="B2008" t="s">
        <v>179</v>
      </c>
      <c r="C2008" s="1">
        <v>44646</v>
      </c>
      <c r="D2008" s="1">
        <v>44646.020833333336</v>
      </c>
      <c r="E200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09" spans="1:5" x14ac:dyDescent="0.3">
      <c r="A2009">
        <v>597</v>
      </c>
      <c r="B2009" t="s">
        <v>68</v>
      </c>
      <c r="C2009" s="1">
        <v>44651.5</v>
      </c>
      <c r="D2009" s="1">
        <v>44653</v>
      </c>
      <c r="E2009" s="17">
        <f>IF(Tablo2[[#This Row],[Başlangıç]]="","",(IF(Tablo2[[#This Row],[Bitiş]]="",($G$1-Tablo2[[#This Row],[Başlangıç]])*24,(Tablo2[[#This Row],[Bitiş]]-Tablo2[[#This Row],[Başlangıç]])*24)))</f>
        <v>36</v>
      </c>
    </row>
    <row r="2010" spans="1:5" x14ac:dyDescent="0.3">
      <c r="A2010">
        <v>597</v>
      </c>
      <c r="B2010" t="s">
        <v>37</v>
      </c>
      <c r="C2010" s="1">
        <v>44646.197916666664</v>
      </c>
      <c r="D2010" s="1">
        <v>44651.875</v>
      </c>
      <c r="E2010" s="17">
        <f>IF(Tablo2[[#This Row],[Başlangıç]]="","",(IF(Tablo2[[#This Row],[Bitiş]]="",($G$1-Tablo2[[#This Row],[Başlangıç]])*24,(Tablo2[[#This Row],[Bitiş]]-Tablo2[[#This Row],[Başlangıç]])*24)))</f>
        <v>136.25000000005821</v>
      </c>
    </row>
    <row r="2011" spans="1:5" x14ac:dyDescent="0.3">
      <c r="A2011">
        <v>597</v>
      </c>
      <c r="B2011" t="s">
        <v>65</v>
      </c>
      <c r="C2011" s="1">
        <v>44650.104166666664</v>
      </c>
      <c r="D2011" s="1">
        <v>44650.979166666664</v>
      </c>
      <c r="E2011" s="17">
        <f>IF(Tablo2[[#This Row],[Başlangıç]]="","",(IF(Tablo2[[#This Row],[Bitiş]]="",($G$1-Tablo2[[#This Row],[Başlangıç]])*24,(Tablo2[[#This Row],[Bitiş]]-Tablo2[[#This Row],[Başlangıç]])*24)))</f>
        <v>21</v>
      </c>
    </row>
    <row r="2012" spans="1:5" x14ac:dyDescent="0.3">
      <c r="A2012">
        <v>598</v>
      </c>
      <c r="B2012" t="s">
        <v>36</v>
      </c>
      <c r="C2012" s="1">
        <v>44647.416666666664</v>
      </c>
      <c r="D2012" s="1">
        <v>44648.746527777781</v>
      </c>
      <c r="E2012" s="17">
        <f>IF(Tablo2[[#This Row],[Başlangıç]]="","",(IF(Tablo2[[#This Row],[Bitiş]]="",($G$1-Tablo2[[#This Row],[Başlangıç]])*24,(Tablo2[[#This Row],[Bitiş]]-Tablo2[[#This Row],[Başlangıç]])*24)))</f>
        <v>31.916666666802485</v>
      </c>
    </row>
    <row r="2013" spans="1:5" x14ac:dyDescent="0.3">
      <c r="A2013">
        <v>598</v>
      </c>
      <c r="B2013" t="s">
        <v>84</v>
      </c>
      <c r="C2013" s="1">
        <v>44651.513888888891</v>
      </c>
      <c r="D2013" s="1">
        <v>44653.458333333336</v>
      </c>
      <c r="E2013" s="17">
        <f>IF(Tablo2[[#This Row],[Başlangıç]]="","",(IF(Tablo2[[#This Row],[Bitiş]]="",($G$1-Tablo2[[#This Row],[Başlangıç]])*24,(Tablo2[[#This Row],[Bitiş]]-Tablo2[[#This Row],[Başlangıç]])*24)))</f>
        <v>46.666666666686069</v>
      </c>
    </row>
    <row r="2014" spans="1:5" x14ac:dyDescent="0.3">
      <c r="A2014">
        <v>598</v>
      </c>
      <c r="B2014" t="s">
        <v>179</v>
      </c>
      <c r="C2014" s="1">
        <v>44646</v>
      </c>
      <c r="D2014" s="1">
        <v>44646.020833333336</v>
      </c>
      <c r="E201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15" spans="1:5" x14ac:dyDescent="0.3">
      <c r="A2015">
        <v>598</v>
      </c>
      <c r="B2015" t="s">
        <v>68</v>
      </c>
      <c r="C2015" s="1">
        <v>44651.781944444447</v>
      </c>
      <c r="D2015" s="1">
        <v>44652.993055555555</v>
      </c>
      <c r="E2015" s="17">
        <f>IF(Tablo2[[#This Row],[Başlangıç]]="","",(IF(Tablo2[[#This Row],[Bitiş]]="",($G$1-Tablo2[[#This Row],[Başlangıç]])*24,(Tablo2[[#This Row],[Bitiş]]-Tablo2[[#This Row],[Başlangıç]])*24)))</f>
        <v>29.066666666592937</v>
      </c>
    </row>
    <row r="2016" spans="1:5" x14ac:dyDescent="0.3">
      <c r="A2016">
        <v>598</v>
      </c>
      <c r="B2016" t="s">
        <v>37</v>
      </c>
      <c r="C2016" s="1">
        <v>44646.78125</v>
      </c>
      <c r="D2016" s="1">
        <v>44651.45416666667</v>
      </c>
      <c r="E2016" s="17">
        <f>IF(Tablo2[[#This Row],[Başlangıç]]="","",(IF(Tablo2[[#This Row],[Bitiş]]="",($G$1-Tablo2[[#This Row],[Başlangıç]])*24,(Tablo2[[#This Row],[Bitiş]]-Tablo2[[#This Row],[Başlangıç]])*24)))</f>
        <v>112.15000000008149</v>
      </c>
    </row>
    <row r="2017" spans="1:5" x14ac:dyDescent="0.3">
      <c r="A2017">
        <v>598</v>
      </c>
      <c r="B2017" t="s">
        <v>65</v>
      </c>
      <c r="C2017" s="1">
        <v>44650.760416666664</v>
      </c>
      <c r="D2017" s="1">
        <v>44651.538194444445</v>
      </c>
      <c r="E2017" s="17">
        <f>IF(Tablo2[[#This Row],[Başlangıç]]="","",(IF(Tablo2[[#This Row],[Bitiş]]="",($G$1-Tablo2[[#This Row],[Başlangıç]])*24,(Tablo2[[#This Row],[Bitiş]]-Tablo2[[#This Row],[Başlangıç]])*24)))</f>
        <v>18.666666666744277</v>
      </c>
    </row>
    <row r="2018" spans="1:5" x14ac:dyDescent="0.3">
      <c r="A2018">
        <v>599</v>
      </c>
      <c r="B2018" t="s">
        <v>36</v>
      </c>
      <c r="C2018" s="1">
        <v>44648.170138888891</v>
      </c>
      <c r="D2018" s="1">
        <v>44649.114583333336</v>
      </c>
      <c r="E2018" s="17">
        <f>IF(Tablo2[[#This Row],[Başlangıç]]="","",(IF(Tablo2[[#This Row],[Bitiş]]="",($G$1-Tablo2[[#This Row],[Başlangıç]])*24,(Tablo2[[#This Row],[Bitiş]]-Tablo2[[#This Row],[Başlangıç]])*24)))</f>
        <v>22.666666666686069</v>
      </c>
    </row>
    <row r="2019" spans="1:5" x14ac:dyDescent="0.3">
      <c r="A2019">
        <v>599</v>
      </c>
      <c r="B2019" t="s">
        <v>84</v>
      </c>
      <c r="C2019" s="1">
        <v>44652.291666666664</v>
      </c>
      <c r="D2019" s="1">
        <v>44653</v>
      </c>
      <c r="E2019" s="17">
        <f>IF(Tablo2[[#This Row],[Başlangıç]]="","",(IF(Tablo2[[#This Row],[Bitiş]]="",($G$1-Tablo2[[#This Row],[Başlangıç]])*24,(Tablo2[[#This Row],[Bitiş]]-Tablo2[[#This Row],[Başlangıç]])*24)))</f>
        <v>17.000000000058208</v>
      </c>
    </row>
    <row r="2020" spans="1:5" x14ac:dyDescent="0.3">
      <c r="A2020">
        <v>599</v>
      </c>
      <c r="B2020" t="s">
        <v>179</v>
      </c>
      <c r="C2020" s="1">
        <v>44647.058333333334</v>
      </c>
      <c r="D2020" s="1">
        <v>44647.07916666667</v>
      </c>
      <c r="E202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21" spans="1:5" x14ac:dyDescent="0.3">
      <c r="A2021">
        <v>599</v>
      </c>
      <c r="B2021" t="s">
        <v>68</v>
      </c>
      <c r="C2021" s="1">
        <v>44652.694444444445</v>
      </c>
      <c r="D2021" s="1">
        <v>44653.775000000001</v>
      </c>
      <c r="E2021" s="17">
        <f>IF(Tablo2[[#This Row],[Başlangıç]]="","",(IF(Tablo2[[#This Row],[Bitiş]]="",($G$1-Tablo2[[#This Row],[Başlangıç]])*24,(Tablo2[[#This Row],[Bitiş]]-Tablo2[[#This Row],[Başlangıç]])*24)))</f>
        <v>25.933333333348855</v>
      </c>
    </row>
    <row r="2022" spans="1:5" x14ac:dyDescent="0.3">
      <c r="A2022">
        <v>599</v>
      </c>
      <c r="B2022" t="s">
        <v>37</v>
      </c>
      <c r="C2022" s="1">
        <v>44647.267361111109</v>
      </c>
      <c r="D2022" s="1">
        <v>44653.388888888891</v>
      </c>
      <c r="E2022" s="17">
        <f>IF(Tablo2[[#This Row],[Başlangıç]]="","",(IF(Tablo2[[#This Row],[Bitiş]]="",($G$1-Tablo2[[#This Row],[Başlangıç]])*24,(Tablo2[[#This Row],[Bitiş]]-Tablo2[[#This Row],[Başlangıç]])*24)))</f>
        <v>146.91666666674428</v>
      </c>
    </row>
    <row r="2023" spans="1:5" x14ac:dyDescent="0.3">
      <c r="A2023">
        <v>599</v>
      </c>
      <c r="B2023" t="s">
        <v>65</v>
      </c>
      <c r="C2023" s="1">
        <v>44651.748611111114</v>
      </c>
      <c r="D2023" s="1">
        <v>44652.194444444445</v>
      </c>
      <c r="E2023" s="17">
        <f>IF(Tablo2[[#This Row],[Başlangıç]]="","",(IF(Tablo2[[#This Row],[Bitiş]]="",($G$1-Tablo2[[#This Row],[Başlangıç]])*24,(Tablo2[[#This Row],[Bitiş]]-Tablo2[[#This Row],[Başlangıç]])*24)))</f>
        <v>10.699999999953434</v>
      </c>
    </row>
    <row r="2024" spans="1:5" x14ac:dyDescent="0.3">
      <c r="A2024">
        <v>600</v>
      </c>
      <c r="B2024" t="s">
        <v>36</v>
      </c>
      <c r="C2024" s="1">
        <v>44650.680555555555</v>
      </c>
      <c r="D2024" s="1">
        <v>44651.5</v>
      </c>
      <c r="E2024" s="17">
        <f>IF(Tablo2[[#This Row],[Başlangıç]]="","",(IF(Tablo2[[#This Row],[Bitiş]]="",($G$1-Tablo2[[#This Row],[Başlangıç]])*24,(Tablo2[[#This Row],[Bitiş]]-Tablo2[[#This Row],[Başlangıç]])*24)))</f>
        <v>19.666666666686069</v>
      </c>
    </row>
    <row r="2025" spans="1:5" x14ac:dyDescent="0.3">
      <c r="A2025">
        <v>600</v>
      </c>
      <c r="B2025" t="s">
        <v>84</v>
      </c>
      <c r="C2025" s="1"/>
      <c r="D2025" s="1"/>
      <c r="E2025" s="17" t="str">
        <f>IF(Tablo2[[#This Row],[Başlangıç]]="","",(IF(Tablo2[[#This Row],[Bitiş]]="",($G$1-Tablo2[[#This Row],[Başlangıç]])*24,(Tablo2[[#This Row],[Bitiş]]-Tablo2[[#This Row],[Başlangıç]])*24)))</f>
        <v/>
      </c>
    </row>
    <row r="2026" spans="1:5" x14ac:dyDescent="0.3">
      <c r="A2026">
        <v>600</v>
      </c>
      <c r="B2026" t="s">
        <v>179</v>
      </c>
      <c r="C2026" s="1">
        <v>44650.479166666664</v>
      </c>
      <c r="D2026" s="1">
        <v>44650.5</v>
      </c>
      <c r="E202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27" spans="1:5" x14ac:dyDescent="0.3">
      <c r="A2027">
        <v>600</v>
      </c>
      <c r="B2027" t="s">
        <v>68</v>
      </c>
      <c r="C2027" s="1"/>
      <c r="D2027" s="1"/>
      <c r="E2027" s="17" t="str">
        <f>IF(Tablo2[[#This Row],[Başlangıç]]="","",(IF(Tablo2[[#This Row],[Bitiş]]="",($G$1-Tablo2[[#This Row],[Başlangıç]])*24,(Tablo2[[#This Row],[Bitiş]]-Tablo2[[#This Row],[Başlangıç]])*24)))</f>
        <v/>
      </c>
    </row>
    <row r="2028" spans="1:5" x14ac:dyDescent="0.3">
      <c r="A2028">
        <v>600</v>
      </c>
      <c r="B2028" t="s">
        <v>37</v>
      </c>
      <c r="C2028" s="1">
        <v>44650.354166666664</v>
      </c>
      <c r="D2028" s="1">
        <v>44652.763888888891</v>
      </c>
      <c r="E2028" s="17">
        <f>IF(Tablo2[[#This Row],[Başlangıç]]="","",(IF(Tablo2[[#This Row],[Bitiş]]="",($G$1-Tablo2[[#This Row],[Başlangıç]])*24,(Tablo2[[#This Row],[Bitiş]]-Tablo2[[#This Row],[Başlangıç]])*24)))</f>
        <v>57.833333333430346</v>
      </c>
    </row>
    <row r="2029" spans="1:5" x14ac:dyDescent="0.3">
      <c r="A2029">
        <v>600</v>
      </c>
      <c r="B2029" t="s">
        <v>65</v>
      </c>
      <c r="C2029" s="1"/>
      <c r="D2029" s="1"/>
      <c r="E2029" s="17" t="str">
        <f>IF(Tablo2[[#This Row],[Başlangıç]]="","",(IF(Tablo2[[#This Row],[Bitiş]]="",($G$1-Tablo2[[#This Row],[Başlangıç]])*24,(Tablo2[[#This Row],[Bitiş]]-Tablo2[[#This Row],[Başlangıç]])*24)))</f>
        <v/>
      </c>
    </row>
    <row r="2030" spans="1:5" x14ac:dyDescent="0.3">
      <c r="A2030">
        <v>601</v>
      </c>
      <c r="B2030" t="s">
        <v>36</v>
      </c>
      <c r="C2030" s="1">
        <v>44649.75</v>
      </c>
      <c r="D2030" s="1">
        <v>44650.253472222219</v>
      </c>
      <c r="E2030" s="17">
        <f>IF(Tablo2[[#This Row],[Başlangıç]]="","",(IF(Tablo2[[#This Row],[Bitiş]]="",($G$1-Tablo2[[#This Row],[Başlangıç]])*24,(Tablo2[[#This Row],[Bitiş]]-Tablo2[[#This Row],[Başlangıç]])*24)))</f>
        <v>12.083333333255723</v>
      </c>
    </row>
    <row r="2031" spans="1:5" x14ac:dyDescent="0.3">
      <c r="A2031">
        <v>601</v>
      </c>
      <c r="B2031" t="s">
        <v>84</v>
      </c>
      <c r="C2031" s="1">
        <v>44653.277777777781</v>
      </c>
      <c r="D2031" s="1">
        <v>44654</v>
      </c>
      <c r="E2031" s="17">
        <f>IF(Tablo2[[#This Row],[Başlangıç]]="","",(IF(Tablo2[[#This Row],[Bitiş]]="",($G$1-Tablo2[[#This Row],[Başlangıç]])*24,(Tablo2[[#This Row],[Bitiş]]-Tablo2[[#This Row],[Başlangıç]])*24)))</f>
        <v>17.333333333255723</v>
      </c>
    </row>
    <row r="2032" spans="1:5" x14ac:dyDescent="0.3">
      <c r="A2032">
        <v>601</v>
      </c>
      <c r="B2032" t="s">
        <v>179</v>
      </c>
      <c r="C2032" s="1">
        <v>44649.458333333336</v>
      </c>
      <c r="D2032" s="1">
        <v>44649.479166666664</v>
      </c>
      <c r="E203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033" spans="1:5" x14ac:dyDescent="0.3">
      <c r="A2033">
        <v>601</v>
      </c>
      <c r="B2033" t="s">
        <v>68</v>
      </c>
      <c r="C2033" s="1">
        <v>44653</v>
      </c>
      <c r="D2033" s="1">
        <v>44654.864583333336</v>
      </c>
      <c r="E2033" s="17">
        <f>IF(Tablo2[[#This Row],[Başlangıç]]="","",(IF(Tablo2[[#This Row],[Bitiş]]="",($G$1-Tablo2[[#This Row],[Başlangıç]])*24,(Tablo2[[#This Row],[Bitiş]]-Tablo2[[#This Row],[Başlangıç]])*24)))</f>
        <v>44.750000000058208</v>
      </c>
    </row>
    <row r="2034" spans="1:5" x14ac:dyDescent="0.3">
      <c r="A2034">
        <v>601</v>
      </c>
      <c r="B2034" t="s">
        <v>37</v>
      </c>
      <c r="C2034" s="1">
        <v>44649.427083333336</v>
      </c>
      <c r="D2034" s="1">
        <v>44654.392361111109</v>
      </c>
      <c r="E2034" s="17">
        <f>IF(Tablo2[[#This Row],[Başlangıç]]="","",(IF(Tablo2[[#This Row],[Bitiş]]="",($G$1-Tablo2[[#This Row],[Başlangıç]])*24,(Tablo2[[#This Row],[Bitiş]]-Tablo2[[#This Row],[Başlangıç]])*24)))</f>
        <v>119.16666666656965</v>
      </c>
    </row>
    <row r="2035" spans="1:5" x14ac:dyDescent="0.3">
      <c r="A2035">
        <v>601</v>
      </c>
      <c r="B2035" t="s">
        <v>65</v>
      </c>
      <c r="C2035" s="1">
        <v>44652.758333333331</v>
      </c>
      <c r="D2035" s="1">
        <v>44654</v>
      </c>
      <c r="E2035" s="17">
        <f>IF(Tablo2[[#This Row],[Başlangıç]]="","",(IF(Tablo2[[#This Row],[Bitiş]]="",($G$1-Tablo2[[#This Row],[Başlangıç]])*24,(Tablo2[[#This Row],[Bitiş]]-Tablo2[[#This Row],[Başlangıç]])*24)))</f>
        <v>29.800000000046566</v>
      </c>
    </row>
    <row r="2036" spans="1:5" x14ac:dyDescent="0.3">
      <c r="A2036">
        <v>602</v>
      </c>
      <c r="B2036" t="s">
        <v>36</v>
      </c>
      <c r="C2036" s="1">
        <v>44650.388888888891</v>
      </c>
      <c r="D2036" s="1">
        <v>44651.079861111109</v>
      </c>
      <c r="E2036" s="17">
        <f>IF(Tablo2[[#This Row],[Başlangıç]]="","",(IF(Tablo2[[#This Row],[Bitiş]]="",($G$1-Tablo2[[#This Row],[Başlangıç]])*24,(Tablo2[[#This Row],[Bitiş]]-Tablo2[[#This Row],[Başlangıç]])*24)))</f>
        <v>16.583333333255723</v>
      </c>
    </row>
    <row r="2037" spans="1:5" x14ac:dyDescent="0.3">
      <c r="A2037">
        <v>602</v>
      </c>
      <c r="B2037" t="s">
        <v>84</v>
      </c>
      <c r="C2037" s="1">
        <v>44653.083333333336</v>
      </c>
      <c r="D2037" s="1">
        <v>44654.416666666664</v>
      </c>
      <c r="E2037" s="17">
        <f>IF(Tablo2[[#This Row],[Başlangıç]]="","",(IF(Tablo2[[#This Row],[Bitiş]]="",($G$1-Tablo2[[#This Row],[Başlangıç]])*24,(Tablo2[[#This Row],[Bitiş]]-Tablo2[[#This Row],[Başlangıç]])*24)))</f>
        <v>31.999999999883585</v>
      </c>
    </row>
    <row r="2038" spans="1:5" x14ac:dyDescent="0.3">
      <c r="A2038">
        <v>602</v>
      </c>
      <c r="B2038" t="s">
        <v>179</v>
      </c>
      <c r="C2038" s="1">
        <v>44650.138888888891</v>
      </c>
      <c r="D2038" s="1">
        <v>44650.159722222219</v>
      </c>
      <c r="E203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039" spans="1:5" x14ac:dyDescent="0.3">
      <c r="A2039">
        <v>602</v>
      </c>
      <c r="B2039" t="s">
        <v>68</v>
      </c>
      <c r="C2039" s="1">
        <v>44595.347222222219</v>
      </c>
      <c r="D2039" s="1">
        <v>44654.576388888891</v>
      </c>
      <c r="E2039" s="17">
        <f>IF(Tablo2[[#This Row],[Başlangıç]]="","",(IF(Tablo2[[#This Row],[Bitiş]]="",($G$1-Tablo2[[#This Row],[Başlangıç]])*24,(Tablo2[[#This Row],[Bitiş]]-Tablo2[[#This Row],[Başlangıç]])*24)))</f>
        <v>1421.5000000001164</v>
      </c>
    </row>
    <row r="2040" spans="1:5" x14ac:dyDescent="0.3">
      <c r="A2040">
        <v>602</v>
      </c>
      <c r="B2040" t="s">
        <v>37</v>
      </c>
      <c r="C2040" s="1">
        <v>44651.041666666664</v>
      </c>
      <c r="D2040" s="1">
        <v>44654.179166666669</v>
      </c>
      <c r="E2040" s="17">
        <f>IF(Tablo2[[#This Row],[Başlangıç]]="","",(IF(Tablo2[[#This Row],[Bitiş]]="",($G$1-Tablo2[[#This Row],[Başlangıç]])*24,(Tablo2[[#This Row],[Bitiş]]-Tablo2[[#This Row],[Başlangıç]])*24)))</f>
        <v>75.300000000104774</v>
      </c>
    </row>
    <row r="2041" spans="1:5" x14ac:dyDescent="0.3">
      <c r="A2041">
        <v>602</v>
      </c>
      <c r="B2041" t="s">
        <v>65</v>
      </c>
      <c r="C2041" s="1">
        <v>44652.020833333336</v>
      </c>
      <c r="D2041" s="1">
        <v>44654</v>
      </c>
      <c r="E2041" s="17">
        <f>IF(Tablo2[[#This Row],[Başlangıç]]="","",(IF(Tablo2[[#This Row],[Bitiş]]="",($G$1-Tablo2[[#This Row],[Başlangıç]])*24,(Tablo2[[#This Row],[Bitiş]]-Tablo2[[#This Row],[Başlangıç]])*24)))</f>
        <v>47.499999999941792</v>
      </c>
    </row>
    <row r="2042" spans="1:5" x14ac:dyDescent="0.3">
      <c r="A2042">
        <v>603</v>
      </c>
      <c r="B2042" t="s">
        <v>36</v>
      </c>
      <c r="C2042" s="1">
        <v>44651.184027777781</v>
      </c>
      <c r="D2042" s="1">
        <v>44652.052083333336</v>
      </c>
      <c r="E2042" s="17">
        <f>IF(Tablo2[[#This Row],[Başlangıç]]="","",(IF(Tablo2[[#This Row],[Bitiş]]="",($G$1-Tablo2[[#This Row],[Başlangıç]])*24,(Tablo2[[#This Row],[Bitiş]]-Tablo2[[#This Row],[Başlangıç]])*24)))</f>
        <v>20.833333333313931</v>
      </c>
    </row>
    <row r="2043" spans="1:5" x14ac:dyDescent="0.3">
      <c r="A2043">
        <v>603</v>
      </c>
      <c r="B2043" t="s">
        <v>84</v>
      </c>
      <c r="C2043" s="1">
        <v>44659</v>
      </c>
      <c r="D2043" s="1">
        <v>44659</v>
      </c>
      <c r="E2043" s="17">
        <f>IF(Tablo2[[#This Row],[Başlangıç]]="","",(IF(Tablo2[[#This Row],[Bitiş]]="",($G$1-Tablo2[[#This Row],[Başlangıç]])*24,(Tablo2[[#This Row],[Bitiş]]-Tablo2[[#This Row],[Başlangıç]])*24)))</f>
        <v>0</v>
      </c>
    </row>
    <row r="2044" spans="1:5" x14ac:dyDescent="0.3">
      <c r="A2044">
        <v>603</v>
      </c>
      <c r="B2044" t="s">
        <v>179</v>
      </c>
      <c r="C2044" s="1">
        <v>44650.9375</v>
      </c>
      <c r="D2044" s="1">
        <v>44650.958333333336</v>
      </c>
      <c r="E204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45" spans="1:5" x14ac:dyDescent="0.3">
      <c r="A2045">
        <v>603</v>
      </c>
      <c r="B2045" t="s">
        <v>68</v>
      </c>
      <c r="C2045" s="1">
        <v>44657.25</v>
      </c>
      <c r="D2045" s="1">
        <v>44659</v>
      </c>
      <c r="E2045" s="17">
        <f>IF(Tablo2[[#This Row],[Başlangıç]]="","",(IF(Tablo2[[#This Row],[Bitiş]]="",($G$1-Tablo2[[#This Row],[Başlangıç]])*24,(Tablo2[[#This Row],[Bitiş]]-Tablo2[[#This Row],[Başlangıç]])*24)))</f>
        <v>42</v>
      </c>
    </row>
    <row r="2046" spans="1:5" x14ac:dyDescent="0.3">
      <c r="A2046">
        <v>603</v>
      </c>
      <c r="B2046" t="s">
        <v>37</v>
      </c>
      <c r="C2046" s="1">
        <v>44650.916666666664</v>
      </c>
      <c r="D2046" s="1">
        <v>44658.152777777781</v>
      </c>
      <c r="E2046" s="17">
        <f>IF(Tablo2[[#This Row],[Başlangıç]]="","",(IF(Tablo2[[#This Row],[Bitiş]]="",($G$1-Tablo2[[#This Row],[Başlangıç]])*24,(Tablo2[[#This Row],[Bitiş]]-Tablo2[[#This Row],[Başlangıç]])*24)))</f>
        <v>173.66666666680248</v>
      </c>
    </row>
    <row r="2047" spans="1:5" x14ac:dyDescent="0.3">
      <c r="A2047">
        <v>603</v>
      </c>
      <c r="B2047" t="s">
        <v>65</v>
      </c>
      <c r="C2047" s="1">
        <v>44654.708333333336</v>
      </c>
      <c r="D2047" s="1">
        <v>44656.666666666664</v>
      </c>
      <c r="E2047" s="17">
        <f>IF(Tablo2[[#This Row],[Başlangıç]]="","",(IF(Tablo2[[#This Row],[Bitiş]]="",($G$1-Tablo2[[#This Row],[Başlangıç]])*24,(Tablo2[[#This Row],[Bitiş]]-Tablo2[[#This Row],[Başlangıç]])*24)))</f>
        <v>46.999999999883585</v>
      </c>
    </row>
    <row r="2048" spans="1:5" x14ac:dyDescent="0.3">
      <c r="A2048">
        <v>604</v>
      </c>
      <c r="B2048" t="s">
        <v>36</v>
      </c>
      <c r="C2048" s="1">
        <v>44651.677083333336</v>
      </c>
      <c r="D2048" s="1">
        <v>44652.416666666664</v>
      </c>
      <c r="E2048" s="17">
        <f>IF(Tablo2[[#This Row],[Başlangıç]]="","",(IF(Tablo2[[#This Row],[Bitiş]]="",($G$1-Tablo2[[#This Row],[Başlangıç]])*24,(Tablo2[[#This Row],[Bitiş]]-Tablo2[[#This Row],[Başlangıç]])*24)))</f>
        <v>17.749999999883585</v>
      </c>
    </row>
    <row r="2049" spans="1:5" x14ac:dyDescent="0.3">
      <c r="A2049">
        <v>604</v>
      </c>
      <c r="B2049" t="s">
        <v>84</v>
      </c>
      <c r="C2049" s="1">
        <v>44659.25</v>
      </c>
      <c r="D2049" s="1">
        <v>44663.993055555555</v>
      </c>
      <c r="E2049" s="17">
        <f>IF(Tablo2[[#This Row],[Başlangıç]]="","",(IF(Tablo2[[#This Row],[Bitiş]]="",($G$1-Tablo2[[#This Row],[Başlangıç]])*24,(Tablo2[[#This Row],[Bitiş]]-Tablo2[[#This Row],[Başlangıç]])*24)))</f>
        <v>113.83333333331393</v>
      </c>
    </row>
    <row r="2050" spans="1:5" x14ac:dyDescent="0.3">
      <c r="A2050">
        <v>604</v>
      </c>
      <c r="B2050" t="s">
        <v>179</v>
      </c>
      <c r="C2050" s="1">
        <v>44651.231249999997</v>
      </c>
      <c r="D2050" s="1">
        <v>44651.252083333333</v>
      </c>
      <c r="E205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51" spans="1:5" x14ac:dyDescent="0.3">
      <c r="A2051">
        <v>604</v>
      </c>
      <c r="B2051" t="s">
        <v>68</v>
      </c>
      <c r="C2051" s="1">
        <v>44659.833333333336</v>
      </c>
      <c r="D2051" s="1">
        <v>44663</v>
      </c>
      <c r="E2051" s="17">
        <f>IF(Tablo2[[#This Row],[Başlangıç]]="","",(IF(Tablo2[[#This Row],[Bitiş]]="",($G$1-Tablo2[[#This Row],[Başlangıç]])*24,(Tablo2[[#This Row],[Bitiş]]-Tablo2[[#This Row],[Başlangıç]])*24)))</f>
        <v>75.999999999941792</v>
      </c>
    </row>
    <row r="2052" spans="1:5" x14ac:dyDescent="0.3">
      <c r="A2052">
        <v>604</v>
      </c>
      <c r="B2052" t="s">
        <v>37</v>
      </c>
      <c r="C2052" s="1">
        <v>44652.576388888891</v>
      </c>
      <c r="D2052" s="1">
        <v>44660.449305555558</v>
      </c>
      <c r="E2052" s="17">
        <f>IF(Tablo2[[#This Row],[Başlangıç]]="","",(IF(Tablo2[[#This Row],[Bitiş]]="",($G$1-Tablo2[[#This Row],[Başlangıç]])*24,(Tablo2[[#This Row],[Bitiş]]-Tablo2[[#This Row],[Başlangıç]])*24)))</f>
        <v>188.95000000001164</v>
      </c>
    </row>
    <row r="2053" spans="1:5" x14ac:dyDescent="0.3">
      <c r="A2053">
        <v>604</v>
      </c>
      <c r="B2053" t="s">
        <v>65</v>
      </c>
      <c r="C2053" s="1">
        <v>44654.731944444444</v>
      </c>
      <c r="D2053" s="1">
        <v>44663</v>
      </c>
      <c r="E2053" s="17">
        <f>IF(Tablo2[[#This Row],[Başlangıç]]="","",(IF(Tablo2[[#This Row],[Bitiş]]="",($G$1-Tablo2[[#This Row],[Başlangıç]])*24,(Tablo2[[#This Row],[Bitiş]]-Tablo2[[#This Row],[Başlangıç]])*24)))</f>
        <v>198.43333333334886</v>
      </c>
    </row>
    <row r="2054" spans="1:5" x14ac:dyDescent="0.3">
      <c r="A2054">
        <v>605</v>
      </c>
      <c r="B2054" t="s">
        <v>36</v>
      </c>
      <c r="C2054" s="1">
        <v>44652.048611111109</v>
      </c>
      <c r="D2054" s="1">
        <v>44653.104166666664</v>
      </c>
      <c r="E2054" s="17">
        <f>IF(Tablo2[[#This Row],[Başlangıç]]="","",(IF(Tablo2[[#This Row],[Bitiş]]="",($G$1-Tablo2[[#This Row],[Başlangıç]])*24,(Tablo2[[#This Row],[Bitiş]]-Tablo2[[#This Row],[Başlangıç]])*24)))</f>
        <v>25.333333333313931</v>
      </c>
    </row>
    <row r="2055" spans="1:5" x14ac:dyDescent="0.3">
      <c r="A2055">
        <v>605</v>
      </c>
      <c r="B2055" t="s">
        <v>84</v>
      </c>
      <c r="C2055" s="1">
        <v>44654.666666666664</v>
      </c>
      <c r="D2055" s="1">
        <v>44657</v>
      </c>
      <c r="E2055" s="17">
        <f>IF(Tablo2[[#This Row],[Başlangıç]]="","",(IF(Tablo2[[#This Row],[Bitiş]]="",($G$1-Tablo2[[#This Row],[Başlangıç]])*24,(Tablo2[[#This Row],[Bitiş]]-Tablo2[[#This Row],[Başlangıç]])*24)))</f>
        <v>56.000000000058208</v>
      </c>
    </row>
    <row r="2056" spans="1:5" x14ac:dyDescent="0.3">
      <c r="A2056">
        <v>605</v>
      </c>
      <c r="B2056" t="s">
        <v>179</v>
      </c>
      <c r="C2056" s="1">
        <v>44651.731944444444</v>
      </c>
      <c r="D2056" s="1">
        <v>44651.75277777778</v>
      </c>
      <c r="E205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57" spans="1:5" x14ac:dyDescent="0.3">
      <c r="A2057">
        <v>605</v>
      </c>
      <c r="B2057" t="s">
        <v>68</v>
      </c>
      <c r="C2057" s="1">
        <v>44655.041666666664</v>
      </c>
      <c r="D2057" s="1">
        <v>44657.263888888891</v>
      </c>
      <c r="E2057" s="17">
        <f>IF(Tablo2[[#This Row],[Başlangıç]]="","",(IF(Tablo2[[#This Row],[Bitiş]]="",($G$1-Tablo2[[#This Row],[Başlangıç]])*24,(Tablo2[[#This Row],[Bitiş]]-Tablo2[[#This Row],[Başlangıç]])*24)))</f>
        <v>53.333333333430346</v>
      </c>
    </row>
    <row r="2058" spans="1:5" x14ac:dyDescent="0.3">
      <c r="A2058">
        <v>605</v>
      </c>
      <c r="B2058" t="s">
        <v>37</v>
      </c>
      <c r="C2058" s="1">
        <v>44651.8125</v>
      </c>
      <c r="D2058" s="1">
        <v>44656.819444444445</v>
      </c>
      <c r="E2058" s="17">
        <f>IF(Tablo2[[#This Row],[Başlangıç]]="","",(IF(Tablo2[[#This Row],[Bitiş]]="",($G$1-Tablo2[[#This Row],[Başlangıç]])*24,(Tablo2[[#This Row],[Bitiş]]-Tablo2[[#This Row],[Başlangıç]])*24)))</f>
        <v>120.16666666668607</v>
      </c>
    </row>
    <row r="2059" spans="1:5" x14ac:dyDescent="0.3">
      <c r="A2059">
        <v>605</v>
      </c>
      <c r="B2059" t="s">
        <v>65</v>
      </c>
      <c r="C2059" s="1">
        <v>44653.694444444445</v>
      </c>
      <c r="D2059" s="1">
        <v>44656.666666666664</v>
      </c>
      <c r="E2059" s="17">
        <f>IF(Tablo2[[#This Row],[Başlangıç]]="","",(IF(Tablo2[[#This Row],[Bitiş]]="",($G$1-Tablo2[[#This Row],[Başlangıç]])*24,(Tablo2[[#This Row],[Bitiş]]-Tablo2[[#This Row],[Başlangıç]])*24)))</f>
        <v>71.333333333255723</v>
      </c>
    </row>
    <row r="2060" spans="1:5" x14ac:dyDescent="0.3">
      <c r="A2060">
        <v>606</v>
      </c>
      <c r="B2060" t="s">
        <v>36</v>
      </c>
      <c r="C2060" s="1">
        <v>44652.614583333336</v>
      </c>
      <c r="D2060" s="1">
        <v>44653.40625</v>
      </c>
      <c r="E2060" s="17">
        <f>IF(Tablo2[[#This Row],[Başlangıç]]="","",(IF(Tablo2[[#This Row],[Bitiş]]="",($G$1-Tablo2[[#This Row],[Başlangıç]])*24,(Tablo2[[#This Row],[Bitiş]]-Tablo2[[#This Row],[Başlangıç]])*24)))</f>
        <v>18.999999999941792</v>
      </c>
    </row>
    <row r="2061" spans="1:5" x14ac:dyDescent="0.3">
      <c r="A2061">
        <v>606</v>
      </c>
      <c r="B2061" t="s">
        <v>84</v>
      </c>
      <c r="C2061" s="1">
        <v>44658.416666666664</v>
      </c>
      <c r="D2061" s="1">
        <v>44658.986111111109</v>
      </c>
      <c r="E2061" s="17">
        <f>IF(Tablo2[[#This Row],[Başlangıç]]="","",(IF(Tablo2[[#This Row],[Bitiş]]="",($G$1-Tablo2[[#This Row],[Başlangıç]])*24,(Tablo2[[#This Row],[Bitiş]]-Tablo2[[#This Row],[Başlangıç]])*24)))</f>
        <v>13.666666666686069</v>
      </c>
    </row>
    <row r="2062" spans="1:5" x14ac:dyDescent="0.3">
      <c r="A2062">
        <v>606</v>
      </c>
      <c r="B2062" t="s">
        <v>179</v>
      </c>
      <c r="C2062" s="1">
        <v>44653.083333333336</v>
      </c>
      <c r="D2062" s="1">
        <v>44653.104166666664</v>
      </c>
      <c r="E206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063" spans="1:5" x14ac:dyDescent="0.3">
      <c r="A2063">
        <v>606</v>
      </c>
      <c r="B2063" t="s">
        <v>68</v>
      </c>
      <c r="C2063" s="1">
        <v>44658.861111111109</v>
      </c>
      <c r="D2063" s="1">
        <v>44660.354166666664</v>
      </c>
      <c r="E2063" s="17">
        <f>IF(Tablo2[[#This Row],[Başlangıç]]="","",(IF(Tablo2[[#This Row],[Bitiş]]="",($G$1-Tablo2[[#This Row],[Başlangıç]])*24,(Tablo2[[#This Row],[Bitiş]]-Tablo2[[#This Row],[Başlangıç]])*24)))</f>
        <v>35.833333333313931</v>
      </c>
    </row>
    <row r="2064" spans="1:5" x14ac:dyDescent="0.3">
      <c r="A2064">
        <v>606</v>
      </c>
      <c r="B2064" t="s">
        <v>37</v>
      </c>
      <c r="C2064" s="1">
        <v>44653.840277777781</v>
      </c>
      <c r="D2064" s="1">
        <v>44659.333333333336</v>
      </c>
      <c r="E2064" s="17">
        <f>IF(Tablo2[[#This Row],[Başlangıç]]="","",(IF(Tablo2[[#This Row],[Bitiş]]="",($G$1-Tablo2[[#This Row],[Başlangıç]])*24,(Tablo2[[#This Row],[Bitiş]]-Tablo2[[#This Row],[Başlangıç]])*24)))</f>
        <v>131.83333333331393</v>
      </c>
    </row>
    <row r="2065" spans="1:5" x14ac:dyDescent="0.3">
      <c r="A2065">
        <v>606</v>
      </c>
      <c r="B2065" t="s">
        <v>65</v>
      </c>
      <c r="C2065" s="1">
        <v>44655.899305555555</v>
      </c>
      <c r="D2065" s="1">
        <v>44659</v>
      </c>
      <c r="E2065" s="17">
        <f>IF(Tablo2[[#This Row],[Başlangıç]]="","",(IF(Tablo2[[#This Row],[Bitiş]]="",($G$1-Tablo2[[#This Row],[Başlangıç]])*24,(Tablo2[[#This Row],[Bitiş]]-Tablo2[[#This Row],[Başlangıç]])*24)))</f>
        <v>74.416666666686069</v>
      </c>
    </row>
    <row r="2066" spans="1:5" x14ac:dyDescent="0.3">
      <c r="A2066">
        <v>607</v>
      </c>
      <c r="B2066" t="s">
        <v>36</v>
      </c>
      <c r="C2066" s="1">
        <v>44653.385416666664</v>
      </c>
      <c r="D2066" s="1">
        <v>44654.135416666664</v>
      </c>
      <c r="E2066" s="17">
        <f>IF(Tablo2[[#This Row],[Başlangıç]]="","",(IF(Tablo2[[#This Row],[Bitiş]]="",($G$1-Tablo2[[#This Row],[Başlangıç]])*24,(Tablo2[[#This Row],[Bitiş]]-Tablo2[[#This Row],[Başlangıç]])*24)))</f>
        <v>18</v>
      </c>
    </row>
    <row r="2067" spans="1:5" x14ac:dyDescent="0.3">
      <c r="A2067">
        <v>607</v>
      </c>
      <c r="B2067" t="s">
        <v>84</v>
      </c>
      <c r="C2067" s="1">
        <v>44661</v>
      </c>
      <c r="D2067" s="1">
        <v>44661</v>
      </c>
      <c r="E2067" s="17">
        <f>IF(Tablo2[[#This Row],[Başlangıç]]="","",(IF(Tablo2[[#This Row],[Bitiş]]="",($G$1-Tablo2[[#This Row],[Başlangıç]])*24,(Tablo2[[#This Row],[Bitiş]]-Tablo2[[#This Row],[Başlangıç]])*24)))</f>
        <v>0</v>
      </c>
    </row>
    <row r="2068" spans="1:5" x14ac:dyDescent="0.3">
      <c r="A2068">
        <v>607</v>
      </c>
      <c r="B2068" t="s">
        <v>179</v>
      </c>
      <c r="C2068" s="1">
        <v>44653.125</v>
      </c>
      <c r="D2068" s="1">
        <v>44653.145833333336</v>
      </c>
      <c r="E206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69" spans="1:5" x14ac:dyDescent="0.3">
      <c r="A2069">
        <v>607</v>
      </c>
      <c r="B2069" t="s">
        <v>68</v>
      </c>
      <c r="C2069" s="1">
        <v>44660.03125</v>
      </c>
      <c r="D2069" s="1">
        <v>44661.048611111109</v>
      </c>
      <c r="E2069" s="17">
        <f>IF(Tablo2[[#This Row],[Başlangıç]]="","",(IF(Tablo2[[#This Row],[Bitiş]]="",($G$1-Tablo2[[#This Row],[Başlangıç]])*24,(Tablo2[[#This Row],[Bitiş]]-Tablo2[[#This Row],[Başlangıç]])*24)))</f>
        <v>24.416666666627862</v>
      </c>
    </row>
    <row r="2070" spans="1:5" x14ac:dyDescent="0.3">
      <c r="A2070">
        <v>607</v>
      </c>
      <c r="B2070" t="s">
        <v>37</v>
      </c>
      <c r="C2070" s="1">
        <v>44653.138888888891</v>
      </c>
      <c r="D2070" s="1">
        <v>44661.444444444445</v>
      </c>
      <c r="E2070" s="17">
        <f>IF(Tablo2[[#This Row],[Başlangıç]]="","",(IF(Tablo2[[#This Row],[Bitiş]]="",($G$1-Tablo2[[#This Row],[Başlangıç]])*24,(Tablo2[[#This Row],[Bitiş]]-Tablo2[[#This Row],[Başlangıç]])*24)))</f>
        <v>199.33333333331393</v>
      </c>
    </row>
    <row r="2071" spans="1:5" x14ac:dyDescent="0.3">
      <c r="A2071">
        <v>607</v>
      </c>
      <c r="B2071" t="s">
        <v>65</v>
      </c>
      <c r="C2071" s="1">
        <v>44654.708333333336</v>
      </c>
      <c r="D2071" s="1">
        <v>44661.057638888888</v>
      </c>
      <c r="E2071" s="17">
        <f>IF(Tablo2[[#This Row],[Başlangıç]]="","",(IF(Tablo2[[#This Row],[Bitiş]]="",($G$1-Tablo2[[#This Row],[Başlangıç]])*24,(Tablo2[[#This Row],[Bitiş]]-Tablo2[[#This Row],[Başlangıç]])*24)))</f>
        <v>152.38333333324408</v>
      </c>
    </row>
    <row r="2072" spans="1:5" x14ac:dyDescent="0.3">
      <c r="A2072">
        <v>608</v>
      </c>
      <c r="B2072" t="s">
        <v>36</v>
      </c>
      <c r="C2072" s="1">
        <v>44653.736111111109</v>
      </c>
      <c r="D2072" s="1">
        <v>44659</v>
      </c>
      <c r="E2072" s="17">
        <f>IF(Tablo2[[#This Row],[Başlangıç]]="","",(IF(Tablo2[[#This Row],[Bitiş]]="",($G$1-Tablo2[[#This Row],[Başlangıç]])*24,(Tablo2[[#This Row],[Bitiş]]-Tablo2[[#This Row],[Başlangıç]])*24)))</f>
        <v>126.33333333337214</v>
      </c>
    </row>
    <row r="2073" spans="1:5" x14ac:dyDescent="0.3">
      <c r="A2073">
        <v>608</v>
      </c>
      <c r="B2073" t="s">
        <v>84</v>
      </c>
      <c r="C2073" s="1">
        <v>44657.048611111109</v>
      </c>
      <c r="D2073" s="1">
        <v>44659</v>
      </c>
      <c r="E2073" s="17">
        <f>IF(Tablo2[[#This Row],[Başlangıç]]="","",(IF(Tablo2[[#This Row],[Bitiş]]="",($G$1-Tablo2[[#This Row],[Başlangıç]])*24,(Tablo2[[#This Row],[Bitiş]]-Tablo2[[#This Row],[Başlangıç]])*24)))</f>
        <v>46.833333333372138</v>
      </c>
    </row>
    <row r="2074" spans="1:5" x14ac:dyDescent="0.3">
      <c r="A2074">
        <v>608</v>
      </c>
      <c r="B2074" t="s">
        <v>179</v>
      </c>
      <c r="C2074" s="1">
        <v>44653.541666666664</v>
      </c>
      <c r="D2074" s="1">
        <v>44653.5625</v>
      </c>
      <c r="E207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75" spans="1:5" x14ac:dyDescent="0.3">
      <c r="A2075">
        <v>608</v>
      </c>
      <c r="B2075" t="s">
        <v>68</v>
      </c>
      <c r="C2075" s="1">
        <v>44657.5625</v>
      </c>
      <c r="D2075" s="1">
        <v>44659.590277777781</v>
      </c>
      <c r="E2075" s="17">
        <f>IF(Tablo2[[#This Row],[Başlangıç]]="","",(IF(Tablo2[[#This Row],[Bitiş]]="",($G$1-Tablo2[[#This Row],[Başlangıç]])*24,(Tablo2[[#This Row],[Bitiş]]-Tablo2[[#This Row],[Başlangıç]])*24)))</f>
        <v>48.666666666744277</v>
      </c>
    </row>
    <row r="2076" spans="1:5" x14ac:dyDescent="0.3">
      <c r="A2076">
        <v>608</v>
      </c>
      <c r="B2076" t="s">
        <v>37</v>
      </c>
      <c r="C2076" s="1">
        <v>44654.729166666664</v>
      </c>
      <c r="D2076" s="1">
        <v>44659</v>
      </c>
      <c r="E2076" s="17">
        <f>IF(Tablo2[[#This Row],[Başlangıç]]="","",(IF(Tablo2[[#This Row],[Bitiş]]="",($G$1-Tablo2[[#This Row],[Başlangıç]])*24,(Tablo2[[#This Row],[Bitiş]]-Tablo2[[#This Row],[Başlangıç]])*24)))</f>
        <v>102.50000000005821</v>
      </c>
    </row>
    <row r="2077" spans="1:5" x14ac:dyDescent="0.3">
      <c r="A2077">
        <v>608</v>
      </c>
      <c r="B2077" t="s">
        <v>65</v>
      </c>
      <c r="C2077" s="1">
        <v>44655.708333333336</v>
      </c>
      <c r="D2077" s="1">
        <v>44659</v>
      </c>
      <c r="E2077" s="17">
        <f>IF(Tablo2[[#This Row],[Başlangıç]]="","",(IF(Tablo2[[#This Row],[Bitiş]]="",($G$1-Tablo2[[#This Row],[Başlangıç]])*24,(Tablo2[[#This Row],[Bitiş]]-Tablo2[[#This Row],[Başlangıç]])*24)))</f>
        <v>78.999999999941792</v>
      </c>
    </row>
    <row r="2078" spans="1:5" x14ac:dyDescent="0.3">
      <c r="A2078">
        <v>609</v>
      </c>
      <c r="B2078" t="s">
        <v>36</v>
      </c>
      <c r="C2078" s="1">
        <v>44655.756944444445</v>
      </c>
      <c r="D2078" s="1">
        <v>44656.40625</v>
      </c>
      <c r="E2078" s="17">
        <f>IF(Tablo2[[#This Row],[Başlangıç]]="","",(IF(Tablo2[[#This Row],[Bitiş]]="",($G$1-Tablo2[[#This Row],[Başlangıç]])*24,(Tablo2[[#This Row],[Bitiş]]-Tablo2[[#This Row],[Başlangıç]])*24)))</f>
        <v>15.583333333313931</v>
      </c>
    </row>
    <row r="2079" spans="1:5" x14ac:dyDescent="0.3">
      <c r="A2079">
        <v>609</v>
      </c>
      <c r="B2079" t="s">
        <v>84</v>
      </c>
      <c r="C2079" s="1">
        <v>44661.916666666664</v>
      </c>
      <c r="D2079" s="1">
        <v>44666.666666666664</v>
      </c>
      <c r="E2079" s="17">
        <f>IF(Tablo2[[#This Row],[Başlangıç]]="","",(IF(Tablo2[[#This Row],[Bitiş]]="",($G$1-Tablo2[[#This Row],[Başlangıç]])*24,(Tablo2[[#This Row],[Bitiş]]-Tablo2[[#This Row],[Başlangıç]])*24)))</f>
        <v>114</v>
      </c>
    </row>
    <row r="2080" spans="1:5" x14ac:dyDescent="0.3">
      <c r="A2080">
        <v>609</v>
      </c>
      <c r="B2080" t="s">
        <v>179</v>
      </c>
      <c r="C2080" s="1">
        <v>44655</v>
      </c>
      <c r="D2080" s="1">
        <v>44655.020833333336</v>
      </c>
      <c r="E208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81" spans="1:5" x14ac:dyDescent="0.3">
      <c r="A2081">
        <v>609</v>
      </c>
      <c r="B2081" t="s">
        <v>68</v>
      </c>
      <c r="C2081" s="1">
        <v>44664.583333333336</v>
      </c>
      <c r="D2081" s="1">
        <v>44666</v>
      </c>
      <c r="E2081" s="17">
        <f>IF(Tablo2[[#This Row],[Başlangıç]]="","",(IF(Tablo2[[#This Row],[Bitiş]]="",($G$1-Tablo2[[#This Row],[Başlangıç]])*24,(Tablo2[[#This Row],[Bitiş]]-Tablo2[[#This Row],[Başlangıç]])*24)))</f>
        <v>33.999999999941792</v>
      </c>
    </row>
    <row r="2082" spans="1:5" x14ac:dyDescent="0.3">
      <c r="A2082">
        <v>609</v>
      </c>
      <c r="B2082" t="s">
        <v>37</v>
      </c>
      <c r="C2082" s="1">
        <v>44655.340277777781</v>
      </c>
      <c r="D2082" s="1">
        <v>44665.333333333336</v>
      </c>
      <c r="E2082" s="17">
        <f>IF(Tablo2[[#This Row],[Başlangıç]]="","",(IF(Tablo2[[#This Row],[Bitiş]]="",($G$1-Tablo2[[#This Row],[Başlangıç]])*24,(Tablo2[[#This Row],[Bitiş]]-Tablo2[[#This Row],[Başlangıç]])*24)))</f>
        <v>239.83333333331393</v>
      </c>
    </row>
    <row r="2083" spans="1:5" x14ac:dyDescent="0.3">
      <c r="A2083">
        <v>609</v>
      </c>
      <c r="B2083" t="s">
        <v>65</v>
      </c>
      <c r="C2083" s="1">
        <v>44657.708333333336</v>
      </c>
      <c r="D2083" s="1">
        <v>44665.333333333336</v>
      </c>
      <c r="E2083" s="17">
        <f>IF(Tablo2[[#This Row],[Başlangıç]]="","",(IF(Tablo2[[#This Row],[Bitiş]]="",($G$1-Tablo2[[#This Row],[Başlangıç]])*24,(Tablo2[[#This Row],[Bitiş]]-Tablo2[[#This Row],[Başlangıç]])*24)))</f>
        <v>183</v>
      </c>
    </row>
    <row r="2084" spans="1:5" x14ac:dyDescent="0.3">
      <c r="A2084">
        <v>610</v>
      </c>
      <c r="B2084" t="s">
        <v>36</v>
      </c>
      <c r="C2084" s="1">
        <v>44655.368055555555</v>
      </c>
      <c r="D2084" s="1">
        <v>44656.083333333336</v>
      </c>
      <c r="E2084" s="17">
        <f>IF(Tablo2[[#This Row],[Başlangıç]]="","",(IF(Tablo2[[#This Row],[Bitiş]]="",($G$1-Tablo2[[#This Row],[Başlangıç]])*24,(Tablo2[[#This Row],[Bitiş]]-Tablo2[[#This Row],[Başlangıç]])*24)))</f>
        <v>17.166666666744277</v>
      </c>
    </row>
    <row r="2085" spans="1:5" x14ac:dyDescent="0.3">
      <c r="A2085">
        <v>610</v>
      </c>
      <c r="B2085" t="s">
        <v>84</v>
      </c>
      <c r="C2085" s="1"/>
      <c r="D2085" s="1"/>
      <c r="E2085" s="17" t="str">
        <f>IF(Tablo2[[#This Row],[Başlangıç]]="","",(IF(Tablo2[[#This Row],[Bitiş]]="",($G$1-Tablo2[[#This Row],[Başlangıç]])*24,(Tablo2[[#This Row],[Bitiş]]-Tablo2[[#This Row],[Başlangıç]])*24)))</f>
        <v/>
      </c>
    </row>
    <row r="2086" spans="1:5" x14ac:dyDescent="0.3">
      <c r="A2086">
        <v>610</v>
      </c>
      <c r="B2086" t="s">
        <v>179</v>
      </c>
      <c r="C2086" s="1">
        <v>44655.125</v>
      </c>
      <c r="D2086" s="1">
        <v>44655.145833333336</v>
      </c>
      <c r="E208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87" spans="1:5" x14ac:dyDescent="0.3">
      <c r="A2087">
        <v>610</v>
      </c>
      <c r="B2087" t="s">
        <v>68</v>
      </c>
      <c r="C2087" s="1"/>
      <c r="D2087" s="1"/>
      <c r="E2087" s="17" t="str">
        <f>IF(Tablo2[[#This Row],[Başlangıç]]="","",(IF(Tablo2[[#This Row],[Bitiş]]="",($G$1-Tablo2[[#This Row],[Başlangıç]])*24,(Tablo2[[#This Row],[Bitiş]]-Tablo2[[#This Row],[Başlangıç]])*24)))</f>
        <v/>
      </c>
    </row>
    <row r="2088" spans="1:5" x14ac:dyDescent="0.3">
      <c r="A2088">
        <v>610</v>
      </c>
      <c r="B2088" t="s">
        <v>37</v>
      </c>
      <c r="C2088" s="1">
        <v>44655.09375</v>
      </c>
      <c r="D2088" s="1">
        <v>44671.166666666664</v>
      </c>
      <c r="E2088" s="17">
        <f>IF(Tablo2[[#This Row],[Başlangıç]]="","",(IF(Tablo2[[#This Row],[Bitiş]]="",($G$1-Tablo2[[#This Row],[Başlangıç]])*24,(Tablo2[[#This Row],[Bitiş]]-Tablo2[[#This Row],[Başlangıç]])*24)))</f>
        <v>385.74999999994179</v>
      </c>
    </row>
    <row r="2089" spans="1:5" x14ac:dyDescent="0.3">
      <c r="A2089">
        <v>610</v>
      </c>
      <c r="B2089" t="s">
        <v>65</v>
      </c>
      <c r="C2089" s="1"/>
      <c r="D2089" s="1"/>
      <c r="E2089" s="17" t="str">
        <f>IF(Tablo2[[#This Row],[Başlangıç]]="","",(IF(Tablo2[[#This Row],[Bitiş]]="",($G$1-Tablo2[[#This Row],[Başlangıç]])*24,(Tablo2[[#This Row],[Bitiş]]-Tablo2[[#This Row],[Başlangıç]])*24)))</f>
        <v/>
      </c>
    </row>
    <row r="2090" spans="1:5" x14ac:dyDescent="0.3">
      <c r="A2090">
        <v>611</v>
      </c>
      <c r="B2090" t="s">
        <v>36</v>
      </c>
      <c r="C2090" s="1">
        <v>44656.006944444445</v>
      </c>
      <c r="D2090" s="1">
        <v>44656.90625</v>
      </c>
      <c r="E2090" s="17">
        <f>IF(Tablo2[[#This Row],[Başlangıç]]="","",(IF(Tablo2[[#This Row],[Bitiş]]="",($G$1-Tablo2[[#This Row],[Başlangıç]])*24,(Tablo2[[#This Row],[Bitiş]]-Tablo2[[#This Row],[Başlangıç]])*24)))</f>
        <v>21.583333333313931</v>
      </c>
    </row>
    <row r="2091" spans="1:5" x14ac:dyDescent="0.3">
      <c r="A2091">
        <v>611</v>
      </c>
      <c r="B2091" t="s">
        <v>84</v>
      </c>
      <c r="C2091" s="1">
        <v>44659.020833333336</v>
      </c>
      <c r="D2091" s="1">
        <v>44660.708333333336</v>
      </c>
      <c r="E2091" s="17">
        <f>IF(Tablo2[[#This Row],[Başlangıç]]="","",(IF(Tablo2[[#This Row],[Bitiş]]="",($G$1-Tablo2[[#This Row],[Başlangıç]])*24,(Tablo2[[#This Row],[Bitiş]]-Tablo2[[#This Row],[Başlangıç]])*24)))</f>
        <v>40.5</v>
      </c>
    </row>
    <row r="2092" spans="1:5" x14ac:dyDescent="0.3">
      <c r="A2092">
        <v>611</v>
      </c>
      <c r="B2092" t="s">
        <v>179</v>
      </c>
      <c r="C2092" s="1">
        <v>44655</v>
      </c>
      <c r="D2092" s="1">
        <v>44655.020833333336</v>
      </c>
      <c r="E209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93" spans="1:5" x14ac:dyDescent="0.3">
      <c r="A2093">
        <v>611</v>
      </c>
      <c r="B2093" t="s">
        <v>68</v>
      </c>
      <c r="C2093" s="1">
        <v>44659.677083333336</v>
      </c>
      <c r="D2093" s="1">
        <v>44660.625</v>
      </c>
      <c r="E2093" s="17">
        <f>IF(Tablo2[[#This Row],[Başlangıç]]="","",(IF(Tablo2[[#This Row],[Bitiş]]="",($G$1-Tablo2[[#This Row],[Başlangıç]])*24,(Tablo2[[#This Row],[Bitiş]]-Tablo2[[#This Row],[Başlangıç]])*24)))</f>
        <v>22.749999999941792</v>
      </c>
    </row>
    <row r="2094" spans="1:5" x14ac:dyDescent="0.3">
      <c r="A2094">
        <v>611</v>
      </c>
      <c r="B2094" t="s">
        <v>37</v>
      </c>
      <c r="C2094" s="1">
        <v>44655.388888888891</v>
      </c>
      <c r="D2094" s="1">
        <v>44660.625</v>
      </c>
      <c r="E2094" s="17">
        <f>IF(Tablo2[[#This Row],[Başlangıç]]="","",(IF(Tablo2[[#This Row],[Bitiş]]="",($G$1-Tablo2[[#This Row],[Başlangıç]])*24,(Tablo2[[#This Row],[Bitiş]]-Tablo2[[#This Row],[Başlangıç]])*24)))</f>
        <v>125.66666666662786</v>
      </c>
    </row>
    <row r="2095" spans="1:5" x14ac:dyDescent="0.3">
      <c r="A2095">
        <v>611</v>
      </c>
      <c r="B2095" t="s">
        <v>65</v>
      </c>
      <c r="C2095" s="1">
        <v>44657.708333333336</v>
      </c>
      <c r="D2095" s="1">
        <v>44660.625</v>
      </c>
      <c r="E2095" s="17">
        <f>IF(Tablo2[[#This Row],[Başlangıç]]="","",(IF(Tablo2[[#This Row],[Bitiş]]="",($G$1-Tablo2[[#This Row],[Başlangıç]])*24,(Tablo2[[#This Row],[Bitiş]]-Tablo2[[#This Row],[Başlangıç]])*24)))</f>
        <v>69.999999999941792</v>
      </c>
    </row>
    <row r="2096" spans="1:5" x14ac:dyDescent="0.3">
      <c r="A2096">
        <v>612</v>
      </c>
      <c r="B2096" t="s">
        <v>36</v>
      </c>
      <c r="C2096" s="1">
        <v>44656.604166666664</v>
      </c>
      <c r="D2096" s="1">
        <v>44657.420138888891</v>
      </c>
      <c r="E2096" s="17">
        <f>IF(Tablo2[[#This Row],[Başlangıç]]="","",(IF(Tablo2[[#This Row],[Bitiş]]="",($G$1-Tablo2[[#This Row],[Başlangıç]])*24,(Tablo2[[#This Row],[Bitiş]]-Tablo2[[#This Row],[Başlangıç]])*24)))</f>
        <v>19.583333333430346</v>
      </c>
    </row>
    <row r="2097" spans="1:5" x14ac:dyDescent="0.3">
      <c r="A2097">
        <v>612</v>
      </c>
      <c r="B2097" t="s">
        <v>84</v>
      </c>
      <c r="C2097" s="1">
        <v>44660.770833333336</v>
      </c>
      <c r="D2097" s="1">
        <v>44668</v>
      </c>
      <c r="E2097" s="17">
        <f>IF(Tablo2[[#This Row],[Başlangıç]]="","",(IF(Tablo2[[#This Row],[Bitiş]]="",($G$1-Tablo2[[#This Row],[Başlangıç]])*24,(Tablo2[[#This Row],[Bitiş]]-Tablo2[[#This Row],[Başlangıç]])*24)))</f>
        <v>173.49999999994179</v>
      </c>
    </row>
    <row r="2098" spans="1:5" x14ac:dyDescent="0.3">
      <c r="A2098">
        <v>612</v>
      </c>
      <c r="B2098" t="s">
        <v>179</v>
      </c>
      <c r="C2098" s="1">
        <v>44656.5</v>
      </c>
      <c r="D2098" s="1">
        <v>44656.520833333336</v>
      </c>
      <c r="E209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099" spans="1:5" x14ac:dyDescent="0.3">
      <c r="A2099">
        <v>612</v>
      </c>
      <c r="B2099" t="s">
        <v>68</v>
      </c>
      <c r="C2099" s="1">
        <v>44661.347222222219</v>
      </c>
      <c r="D2099" s="1">
        <v>44668</v>
      </c>
      <c r="E2099" s="17">
        <f>IF(Tablo2[[#This Row],[Başlangıç]]="","",(IF(Tablo2[[#This Row],[Bitiş]]="",($G$1-Tablo2[[#This Row],[Başlangıç]])*24,(Tablo2[[#This Row],[Bitiş]]-Tablo2[[#This Row],[Başlangıç]])*24)))</f>
        <v>159.66666666674428</v>
      </c>
    </row>
    <row r="2100" spans="1:5" x14ac:dyDescent="0.3">
      <c r="A2100">
        <v>612</v>
      </c>
      <c r="B2100" t="s">
        <v>37</v>
      </c>
      <c r="C2100" s="1">
        <v>44598.760416666664</v>
      </c>
      <c r="D2100" s="1">
        <v>44671.177083333336</v>
      </c>
      <c r="E2100" s="17">
        <f>IF(Tablo2[[#This Row],[Başlangıç]]="","",(IF(Tablo2[[#This Row],[Bitiş]]="",($G$1-Tablo2[[#This Row],[Başlangıç]])*24,(Tablo2[[#This Row],[Bitiş]]-Tablo2[[#This Row],[Başlangıç]])*24)))</f>
        <v>1738.0000000001164</v>
      </c>
    </row>
    <row r="2101" spans="1:5" x14ac:dyDescent="0.3">
      <c r="A2101">
        <v>612</v>
      </c>
      <c r="B2101" t="s">
        <v>65</v>
      </c>
      <c r="C2101" s="1">
        <v>44659.75</v>
      </c>
      <c r="D2101" s="1">
        <v>44671.447916666664</v>
      </c>
      <c r="E2101" s="17">
        <f>IF(Tablo2[[#This Row],[Başlangıç]]="","",(IF(Tablo2[[#This Row],[Bitiş]]="",($G$1-Tablo2[[#This Row],[Başlangıç]])*24,(Tablo2[[#This Row],[Bitiş]]-Tablo2[[#This Row],[Başlangıç]])*24)))</f>
        <v>280.74999999994179</v>
      </c>
    </row>
    <row r="2102" spans="1:5" x14ac:dyDescent="0.3">
      <c r="A2102">
        <v>613</v>
      </c>
      <c r="B2102" t="s">
        <v>36</v>
      </c>
      <c r="C2102" s="1">
        <v>44656.458333333336</v>
      </c>
      <c r="D2102" s="1">
        <v>44669.068055555559</v>
      </c>
      <c r="E2102" s="17">
        <f>IF(Tablo2[[#This Row],[Başlangıç]]="","",(IF(Tablo2[[#This Row],[Bitiş]]="",($G$1-Tablo2[[#This Row],[Başlangıç]])*24,(Tablo2[[#This Row],[Bitiş]]-Tablo2[[#This Row],[Başlangıç]])*24)))</f>
        <v>302.6333333333605</v>
      </c>
    </row>
    <row r="2103" spans="1:5" x14ac:dyDescent="0.3">
      <c r="A2103">
        <v>613</v>
      </c>
      <c r="B2103" t="s">
        <v>84</v>
      </c>
      <c r="C2103" s="1">
        <v>44668</v>
      </c>
      <c r="D2103" s="1">
        <v>44668</v>
      </c>
      <c r="E2103" s="17">
        <f>IF(Tablo2[[#This Row],[Başlangıç]]="","",(IF(Tablo2[[#This Row],[Bitiş]]="",($G$1-Tablo2[[#This Row],[Başlangıç]])*24,(Tablo2[[#This Row],[Bitiş]]-Tablo2[[#This Row],[Başlangıç]])*24)))</f>
        <v>0</v>
      </c>
    </row>
    <row r="2104" spans="1:5" x14ac:dyDescent="0.3">
      <c r="A2104">
        <v>613</v>
      </c>
      <c r="B2104" t="s">
        <v>179</v>
      </c>
      <c r="C2104" s="1">
        <v>44656.106944444444</v>
      </c>
      <c r="D2104" s="1">
        <v>44656.12777777778</v>
      </c>
      <c r="E210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05" spans="1:5" x14ac:dyDescent="0.3">
      <c r="A2105">
        <v>613</v>
      </c>
      <c r="B2105" t="s">
        <v>68</v>
      </c>
      <c r="C2105" s="1">
        <v>44664.131249999999</v>
      </c>
      <c r="D2105" s="1">
        <v>44668</v>
      </c>
      <c r="E2105" s="17">
        <f>IF(Tablo2[[#This Row],[Başlangıç]]="","",(IF(Tablo2[[#This Row],[Bitiş]]="",($G$1-Tablo2[[#This Row],[Başlangıç]])*24,(Tablo2[[#This Row],[Bitiş]]-Tablo2[[#This Row],[Başlangıç]])*24)))</f>
        <v>92.850000000034925</v>
      </c>
    </row>
    <row r="2106" spans="1:5" x14ac:dyDescent="0.3">
      <c r="A2106">
        <v>613</v>
      </c>
      <c r="B2106" t="s">
        <v>37</v>
      </c>
      <c r="C2106" s="1">
        <v>44657.722222222219</v>
      </c>
      <c r="D2106" s="1">
        <v>44668</v>
      </c>
      <c r="E2106" s="17">
        <f>IF(Tablo2[[#This Row],[Başlangıç]]="","",(IF(Tablo2[[#This Row],[Bitiş]]="",($G$1-Tablo2[[#This Row],[Başlangıç]])*24,(Tablo2[[#This Row],[Bitiş]]-Tablo2[[#This Row],[Başlangıç]])*24)))</f>
        <v>246.66666666674428</v>
      </c>
    </row>
    <row r="2107" spans="1:5" x14ac:dyDescent="0.3">
      <c r="A2107">
        <v>613</v>
      </c>
      <c r="B2107" t="s">
        <v>65</v>
      </c>
      <c r="C2107" s="1">
        <v>44668</v>
      </c>
      <c r="D2107" s="1">
        <v>44668</v>
      </c>
      <c r="E2107" s="17">
        <f>IF(Tablo2[[#This Row],[Başlangıç]]="","",(IF(Tablo2[[#This Row],[Bitiş]]="",($G$1-Tablo2[[#This Row],[Başlangıç]])*24,(Tablo2[[#This Row],[Bitiş]]-Tablo2[[#This Row],[Başlangıç]])*24)))</f>
        <v>0</v>
      </c>
    </row>
    <row r="2108" spans="1:5" x14ac:dyDescent="0.3">
      <c r="A2108">
        <v>614</v>
      </c>
      <c r="B2108" t="s">
        <v>36</v>
      </c>
      <c r="C2108" s="1">
        <v>44657.277777777781</v>
      </c>
      <c r="D2108" s="1">
        <v>44663</v>
      </c>
      <c r="E2108" s="17">
        <f>IF(Tablo2[[#This Row],[Başlangıç]]="","",(IF(Tablo2[[#This Row],[Bitiş]]="",($G$1-Tablo2[[#This Row],[Başlangıç]])*24,(Tablo2[[#This Row],[Bitiş]]-Tablo2[[#This Row],[Başlangıç]])*24)))</f>
        <v>137.33333333325572</v>
      </c>
    </row>
    <row r="2109" spans="1:5" x14ac:dyDescent="0.3">
      <c r="A2109">
        <v>614</v>
      </c>
      <c r="B2109" t="s">
        <v>84</v>
      </c>
      <c r="C2109" s="1">
        <v>44661.194444444445</v>
      </c>
      <c r="D2109" s="1">
        <v>44663</v>
      </c>
      <c r="E2109" s="17">
        <f>IF(Tablo2[[#This Row],[Başlangıç]]="","",(IF(Tablo2[[#This Row],[Bitiş]]="",($G$1-Tablo2[[#This Row],[Başlangıç]])*24,(Tablo2[[#This Row],[Bitiş]]-Tablo2[[#This Row],[Başlangıç]])*24)))</f>
        <v>43.333333333313931</v>
      </c>
    </row>
    <row r="2110" spans="1:5" x14ac:dyDescent="0.3">
      <c r="A2110">
        <v>614</v>
      </c>
      <c r="B2110" t="s">
        <v>179</v>
      </c>
      <c r="C2110" s="1">
        <v>44657</v>
      </c>
      <c r="D2110" s="1">
        <v>44657.020833333336</v>
      </c>
      <c r="E211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11" spans="1:5" x14ac:dyDescent="0.3">
      <c r="A2111">
        <v>614</v>
      </c>
      <c r="B2111" t="s">
        <v>68</v>
      </c>
      <c r="C2111" s="1">
        <v>44661.541666666664</v>
      </c>
      <c r="D2111" s="1">
        <v>44663</v>
      </c>
      <c r="E2111" s="17">
        <f>IF(Tablo2[[#This Row],[Başlangıç]]="","",(IF(Tablo2[[#This Row],[Bitiş]]="",($G$1-Tablo2[[#This Row],[Başlangıç]])*24,(Tablo2[[#This Row],[Bitiş]]-Tablo2[[#This Row],[Başlangıç]])*24)))</f>
        <v>35.000000000058208</v>
      </c>
    </row>
    <row r="2112" spans="1:5" x14ac:dyDescent="0.3">
      <c r="A2112">
        <v>614</v>
      </c>
      <c r="B2112" t="s">
        <v>37</v>
      </c>
      <c r="C2112" s="1">
        <v>44657.114583333336</v>
      </c>
      <c r="D2112" s="1">
        <v>44663</v>
      </c>
      <c r="E2112" s="17">
        <f>IF(Tablo2[[#This Row],[Başlangıç]]="","",(IF(Tablo2[[#This Row],[Bitiş]]="",($G$1-Tablo2[[#This Row],[Başlangıç]])*24,(Tablo2[[#This Row],[Bitiş]]-Tablo2[[#This Row],[Başlangıç]])*24)))</f>
        <v>141.24999999994179</v>
      </c>
    </row>
    <row r="2113" spans="1:5" x14ac:dyDescent="0.3">
      <c r="A2113">
        <v>614</v>
      </c>
      <c r="B2113" t="s">
        <v>65</v>
      </c>
      <c r="C2113" s="1">
        <v>44660.729166666664</v>
      </c>
      <c r="D2113" s="1">
        <v>44663</v>
      </c>
      <c r="E2113" s="17">
        <f>IF(Tablo2[[#This Row],[Başlangıç]]="","",(IF(Tablo2[[#This Row],[Bitiş]]="",($G$1-Tablo2[[#This Row],[Başlangıç]])*24,(Tablo2[[#This Row],[Bitiş]]-Tablo2[[#This Row],[Başlangıç]])*24)))</f>
        <v>54.500000000058208</v>
      </c>
    </row>
    <row r="2114" spans="1:5" x14ac:dyDescent="0.3">
      <c r="A2114">
        <v>615</v>
      </c>
      <c r="B2114" t="s">
        <v>36</v>
      </c>
      <c r="C2114" s="1">
        <v>44657.895833333336</v>
      </c>
      <c r="D2114" s="1">
        <v>44663</v>
      </c>
      <c r="E2114" s="17">
        <f>IF(Tablo2[[#This Row],[Başlangıç]]="","",(IF(Tablo2[[#This Row],[Bitiş]]="",($G$1-Tablo2[[#This Row],[Başlangıç]])*24,(Tablo2[[#This Row],[Bitiş]]-Tablo2[[#This Row],[Başlangıç]])*24)))</f>
        <v>122.49999999994179</v>
      </c>
    </row>
    <row r="2115" spans="1:5" x14ac:dyDescent="0.3">
      <c r="A2115">
        <v>615</v>
      </c>
      <c r="B2115" t="s">
        <v>84</v>
      </c>
      <c r="C2115" s="1">
        <v>44663</v>
      </c>
      <c r="D2115" s="1">
        <v>44663</v>
      </c>
      <c r="E2115" s="17">
        <f>IF(Tablo2[[#This Row],[Başlangıç]]="","",(IF(Tablo2[[#This Row],[Bitiş]]="",($G$1-Tablo2[[#This Row],[Başlangıç]])*24,(Tablo2[[#This Row],[Bitiş]]-Tablo2[[#This Row],[Başlangıç]])*24)))</f>
        <v>0</v>
      </c>
    </row>
    <row r="2116" spans="1:5" x14ac:dyDescent="0.3">
      <c r="A2116">
        <v>615</v>
      </c>
      <c r="B2116" t="s">
        <v>179</v>
      </c>
      <c r="C2116" s="1">
        <v>44657.833333333336</v>
      </c>
      <c r="D2116" s="1">
        <v>44657.854166666664</v>
      </c>
      <c r="E211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117" spans="1:5" x14ac:dyDescent="0.3">
      <c r="A2117">
        <v>615</v>
      </c>
      <c r="B2117" t="s">
        <v>68</v>
      </c>
      <c r="C2117" s="1">
        <v>44661.861111111109</v>
      </c>
      <c r="D2117" s="1">
        <v>44663.239583333336</v>
      </c>
      <c r="E2117" s="17">
        <f>IF(Tablo2[[#This Row],[Başlangıç]]="","",(IF(Tablo2[[#This Row],[Bitiş]]="",($G$1-Tablo2[[#This Row],[Başlangıç]])*24,(Tablo2[[#This Row],[Bitiş]]-Tablo2[[#This Row],[Başlangıç]])*24)))</f>
        <v>33.083333333430346</v>
      </c>
    </row>
    <row r="2118" spans="1:5" x14ac:dyDescent="0.3">
      <c r="A2118">
        <v>615</v>
      </c>
      <c r="B2118" t="s">
        <v>37</v>
      </c>
      <c r="C2118" s="1">
        <v>44658.909722222219</v>
      </c>
      <c r="D2118" s="1">
        <v>44663</v>
      </c>
      <c r="E2118" s="17">
        <f>IF(Tablo2[[#This Row],[Başlangıç]]="","",(IF(Tablo2[[#This Row],[Bitiş]]="",($G$1-Tablo2[[#This Row],[Başlangıç]])*24,(Tablo2[[#This Row],[Bitiş]]-Tablo2[[#This Row],[Başlangıç]])*24)))</f>
        <v>98.166666666744277</v>
      </c>
    </row>
    <row r="2119" spans="1:5" x14ac:dyDescent="0.3">
      <c r="A2119">
        <v>615</v>
      </c>
      <c r="B2119" t="s">
        <v>65</v>
      </c>
      <c r="C2119" s="1">
        <v>44661.166666666664</v>
      </c>
      <c r="D2119" s="1">
        <v>44661.580555555556</v>
      </c>
      <c r="E2119" s="17">
        <f>IF(Tablo2[[#This Row],[Başlangıç]]="","",(IF(Tablo2[[#This Row],[Bitiş]]="",($G$1-Tablo2[[#This Row],[Başlangıç]])*24,(Tablo2[[#This Row],[Bitiş]]-Tablo2[[#This Row],[Başlangıç]])*24)))</f>
        <v>9.933333333407063</v>
      </c>
    </row>
    <row r="2120" spans="1:5" x14ac:dyDescent="0.3">
      <c r="A2120">
        <v>616</v>
      </c>
      <c r="B2120" t="s">
        <v>36</v>
      </c>
      <c r="C2120" s="1">
        <v>44658.40625</v>
      </c>
      <c r="D2120" s="1">
        <v>44659.444444444445</v>
      </c>
      <c r="E2120" s="17">
        <f>IF(Tablo2[[#This Row],[Başlangıç]]="","",(IF(Tablo2[[#This Row],[Bitiş]]="",($G$1-Tablo2[[#This Row],[Başlangıç]])*24,(Tablo2[[#This Row],[Bitiş]]-Tablo2[[#This Row],[Başlangıç]])*24)))</f>
        <v>24.916666666686069</v>
      </c>
    </row>
    <row r="2121" spans="1:5" x14ac:dyDescent="0.3">
      <c r="A2121">
        <v>616</v>
      </c>
      <c r="B2121" t="s">
        <v>84</v>
      </c>
      <c r="C2121" s="1">
        <v>44662.3125</v>
      </c>
      <c r="D2121" s="1">
        <v>44663</v>
      </c>
      <c r="E2121" s="17">
        <f>IF(Tablo2[[#This Row],[Başlangıç]]="","",(IF(Tablo2[[#This Row],[Bitiş]]="",($G$1-Tablo2[[#This Row],[Başlangıç]])*24,(Tablo2[[#This Row],[Bitiş]]-Tablo2[[#This Row],[Başlangıç]])*24)))</f>
        <v>16.5</v>
      </c>
    </row>
    <row r="2122" spans="1:5" x14ac:dyDescent="0.3">
      <c r="A2122">
        <v>616</v>
      </c>
      <c r="B2122" t="s">
        <v>179</v>
      </c>
      <c r="C2122" s="1">
        <v>44658.28125</v>
      </c>
      <c r="D2122" s="1">
        <v>44658.302083333336</v>
      </c>
      <c r="E212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23" spans="1:5" x14ac:dyDescent="0.3">
      <c r="A2123">
        <v>616</v>
      </c>
      <c r="B2123" t="s">
        <v>68</v>
      </c>
      <c r="C2123" s="1">
        <v>44632.0625</v>
      </c>
      <c r="D2123" s="1">
        <v>44663.854166666664</v>
      </c>
      <c r="E2123" s="17">
        <f>IF(Tablo2[[#This Row],[Başlangıç]]="","",(IF(Tablo2[[#This Row],[Bitiş]]="",($G$1-Tablo2[[#This Row],[Başlangıç]])*24,(Tablo2[[#This Row],[Bitiş]]-Tablo2[[#This Row],[Başlangıç]])*24)))</f>
        <v>762.99999999994179</v>
      </c>
    </row>
    <row r="2124" spans="1:5" x14ac:dyDescent="0.3">
      <c r="A2124">
        <v>616</v>
      </c>
      <c r="B2124" t="s">
        <v>37</v>
      </c>
      <c r="C2124" s="1">
        <v>44659.479166666664</v>
      </c>
      <c r="D2124" s="1">
        <v>44663.333333333336</v>
      </c>
      <c r="E2124" s="17">
        <f>IF(Tablo2[[#This Row],[Başlangıç]]="","",(IF(Tablo2[[#This Row],[Bitiş]]="",($G$1-Tablo2[[#This Row],[Başlangıç]])*24,(Tablo2[[#This Row],[Bitiş]]-Tablo2[[#This Row],[Başlangıç]])*24)))</f>
        <v>92.500000000116415</v>
      </c>
    </row>
    <row r="2125" spans="1:5" x14ac:dyDescent="0.3">
      <c r="A2125">
        <v>616</v>
      </c>
      <c r="B2125" t="s">
        <v>65</v>
      </c>
      <c r="C2125" s="1">
        <v>44661.708333333336</v>
      </c>
      <c r="D2125" s="1">
        <v>44663.666666666664</v>
      </c>
      <c r="E2125" s="17">
        <f>IF(Tablo2[[#This Row],[Başlangıç]]="","",(IF(Tablo2[[#This Row],[Bitiş]]="",($G$1-Tablo2[[#This Row],[Başlangıç]])*24,(Tablo2[[#This Row],[Bitiş]]-Tablo2[[#This Row],[Başlangıç]])*24)))</f>
        <v>46.999999999883585</v>
      </c>
    </row>
    <row r="2126" spans="1:5" x14ac:dyDescent="0.3">
      <c r="A2126">
        <v>617</v>
      </c>
      <c r="B2126" t="s">
        <v>36</v>
      </c>
      <c r="C2126" s="1">
        <v>44659.569444444445</v>
      </c>
      <c r="D2126" s="1">
        <v>44665</v>
      </c>
      <c r="E2126" s="17">
        <f>IF(Tablo2[[#This Row],[Başlangıç]]="","",(IF(Tablo2[[#This Row],[Bitiş]]="",($G$1-Tablo2[[#This Row],[Başlangıç]])*24,(Tablo2[[#This Row],[Bitiş]]-Tablo2[[#This Row],[Başlangıç]])*24)))</f>
        <v>130.33333333331393</v>
      </c>
    </row>
    <row r="2127" spans="1:5" x14ac:dyDescent="0.3">
      <c r="A2127">
        <v>617</v>
      </c>
      <c r="B2127" t="s">
        <v>84</v>
      </c>
      <c r="C2127" s="1">
        <v>44604.631944444445</v>
      </c>
      <c r="D2127" s="1">
        <v>44666</v>
      </c>
      <c r="E2127" s="17">
        <f>IF(Tablo2[[#This Row],[Başlangıç]]="","",(IF(Tablo2[[#This Row],[Bitiş]]="",($G$1-Tablo2[[#This Row],[Başlangıç]])*24,(Tablo2[[#This Row],[Bitiş]]-Tablo2[[#This Row],[Başlangıç]])*24)))</f>
        <v>1472.8333333333139</v>
      </c>
    </row>
    <row r="2128" spans="1:5" x14ac:dyDescent="0.3">
      <c r="A2128">
        <v>617</v>
      </c>
      <c r="B2128" t="s">
        <v>179</v>
      </c>
      <c r="C2128" s="1">
        <v>44658.791666666664</v>
      </c>
      <c r="D2128" s="1">
        <v>44658.8125</v>
      </c>
      <c r="E212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29" spans="1:5" x14ac:dyDescent="0.3">
      <c r="A2129">
        <v>617</v>
      </c>
      <c r="B2129" t="s">
        <v>68</v>
      </c>
      <c r="C2129" s="1">
        <v>44663.59375</v>
      </c>
      <c r="D2129" s="1">
        <v>44665.036805555559</v>
      </c>
      <c r="E2129" s="17">
        <f>IF(Tablo2[[#This Row],[Başlangıç]]="","",(IF(Tablo2[[#This Row],[Bitiş]]="",($G$1-Tablo2[[#This Row],[Başlangıç]])*24,(Tablo2[[#This Row],[Bitiş]]-Tablo2[[#This Row],[Başlangıç]])*24)))</f>
        <v>34.633333333418705</v>
      </c>
    </row>
    <row r="2130" spans="1:5" x14ac:dyDescent="0.3">
      <c r="A2130">
        <v>617</v>
      </c>
      <c r="B2130" t="s">
        <v>37</v>
      </c>
      <c r="C2130" s="1">
        <v>44660.020833333336</v>
      </c>
      <c r="D2130" s="1">
        <v>44665.333333333336</v>
      </c>
      <c r="E2130" s="17">
        <f>IF(Tablo2[[#This Row],[Başlangıç]]="","",(IF(Tablo2[[#This Row],[Bitiş]]="",($G$1-Tablo2[[#This Row],[Başlangıç]])*24,(Tablo2[[#This Row],[Bitiş]]-Tablo2[[#This Row],[Başlangıç]])*24)))</f>
        <v>127.5</v>
      </c>
    </row>
    <row r="2131" spans="1:5" x14ac:dyDescent="0.3">
      <c r="A2131">
        <v>617</v>
      </c>
      <c r="B2131" t="s">
        <v>65</v>
      </c>
      <c r="C2131" s="1">
        <v>44662.354166666664</v>
      </c>
      <c r="D2131" s="1">
        <v>44666</v>
      </c>
      <c r="E2131" s="17">
        <f>IF(Tablo2[[#This Row],[Başlangıç]]="","",(IF(Tablo2[[#This Row],[Bitiş]]="",($G$1-Tablo2[[#This Row],[Başlangıç]])*24,(Tablo2[[#This Row],[Bitiş]]-Tablo2[[#This Row],[Başlangıç]])*24)))</f>
        <v>87.500000000058208</v>
      </c>
    </row>
    <row r="2132" spans="1:5" x14ac:dyDescent="0.3">
      <c r="A2132">
        <v>618</v>
      </c>
      <c r="B2132" t="s">
        <v>36</v>
      </c>
      <c r="C2132" s="1">
        <v>44659.340277777781</v>
      </c>
      <c r="D2132" s="1">
        <v>44666</v>
      </c>
      <c r="E2132" s="17">
        <f>IF(Tablo2[[#This Row],[Başlangıç]]="","",(IF(Tablo2[[#This Row],[Bitiş]]="",($G$1-Tablo2[[#This Row],[Başlangıç]])*24,(Tablo2[[#This Row],[Bitiş]]-Tablo2[[#This Row],[Başlangıç]])*24)))</f>
        <v>159.83333333325572</v>
      </c>
    </row>
    <row r="2133" spans="1:5" x14ac:dyDescent="0.3">
      <c r="A2133">
        <v>618</v>
      </c>
      <c r="B2133" t="s">
        <v>84</v>
      </c>
      <c r="C2133" s="1">
        <v>44663.84375</v>
      </c>
      <c r="D2133" s="1">
        <v>44666</v>
      </c>
      <c r="E2133" s="17">
        <f>IF(Tablo2[[#This Row],[Başlangıç]]="","",(IF(Tablo2[[#This Row],[Bitiş]]="",($G$1-Tablo2[[#This Row],[Başlangıç]])*24,(Tablo2[[#This Row],[Bitiş]]-Tablo2[[#This Row],[Başlangıç]])*24)))</f>
        <v>51.75</v>
      </c>
    </row>
    <row r="2134" spans="1:5" x14ac:dyDescent="0.3">
      <c r="A2134">
        <v>618</v>
      </c>
      <c r="B2134" t="s">
        <v>179</v>
      </c>
      <c r="C2134" s="1">
        <v>44658.166666666664</v>
      </c>
      <c r="D2134" s="1">
        <v>44658.1875</v>
      </c>
      <c r="E213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35" spans="1:5" x14ac:dyDescent="0.3">
      <c r="A2135">
        <v>618</v>
      </c>
      <c r="B2135" t="s">
        <v>68</v>
      </c>
      <c r="C2135" s="1">
        <v>44665.708333333336</v>
      </c>
      <c r="D2135" s="1">
        <v>44666</v>
      </c>
      <c r="E2135" s="17">
        <f>IF(Tablo2[[#This Row],[Başlangıç]]="","",(IF(Tablo2[[#This Row],[Bitiş]]="",($G$1-Tablo2[[#This Row],[Başlangıç]])*24,(Tablo2[[#This Row],[Bitiş]]-Tablo2[[#This Row],[Başlangıç]])*24)))</f>
        <v>6.9999999999417923</v>
      </c>
    </row>
    <row r="2136" spans="1:5" x14ac:dyDescent="0.3">
      <c r="A2136">
        <v>618</v>
      </c>
      <c r="B2136" t="s">
        <v>37</v>
      </c>
      <c r="C2136" s="1">
        <v>44659.03402777778</v>
      </c>
      <c r="D2136" s="1">
        <v>44666</v>
      </c>
      <c r="E2136" s="17">
        <f>IF(Tablo2[[#This Row],[Başlangıç]]="","",(IF(Tablo2[[#This Row],[Bitiş]]="",($G$1-Tablo2[[#This Row],[Başlangıç]])*24,(Tablo2[[#This Row],[Bitiş]]-Tablo2[[#This Row],[Başlangıç]])*24)))</f>
        <v>167.18333333329065</v>
      </c>
    </row>
    <row r="2137" spans="1:5" x14ac:dyDescent="0.3">
      <c r="A2137">
        <v>618</v>
      </c>
      <c r="B2137" t="s">
        <v>65</v>
      </c>
      <c r="C2137" s="1">
        <v>44663.430555555555</v>
      </c>
      <c r="D2137" s="1">
        <v>44666.10833333333</v>
      </c>
      <c r="E2137" s="17">
        <f>IF(Tablo2[[#This Row],[Başlangıç]]="","",(IF(Tablo2[[#This Row],[Bitiş]]="",($G$1-Tablo2[[#This Row],[Başlangıç]])*24,(Tablo2[[#This Row],[Bitiş]]-Tablo2[[#This Row],[Başlangıç]])*24)))</f>
        <v>64.266666666604578</v>
      </c>
    </row>
    <row r="2138" spans="1:5" x14ac:dyDescent="0.3">
      <c r="A2138">
        <v>619</v>
      </c>
      <c r="B2138" t="s">
        <v>36</v>
      </c>
      <c r="C2138" s="1">
        <v>44659.75</v>
      </c>
      <c r="D2138" s="1">
        <v>44661.246527777781</v>
      </c>
      <c r="E2138" s="17">
        <f>IF(Tablo2[[#This Row],[Başlangıç]]="","",(IF(Tablo2[[#This Row],[Bitiş]]="",($G$1-Tablo2[[#This Row],[Başlangıç]])*24,(Tablo2[[#This Row],[Bitiş]]-Tablo2[[#This Row],[Başlangıç]])*24)))</f>
        <v>35.916666666744277</v>
      </c>
    </row>
    <row r="2139" spans="1:5" x14ac:dyDescent="0.3">
      <c r="A2139">
        <v>619</v>
      </c>
      <c r="B2139" t="s">
        <v>84</v>
      </c>
      <c r="C2139" s="1">
        <v>44664.604166666664</v>
      </c>
      <c r="D2139" s="1">
        <v>44667</v>
      </c>
      <c r="E2139" s="17">
        <f>IF(Tablo2[[#This Row],[Başlangıç]]="","",(IF(Tablo2[[#This Row],[Bitiş]]="",($G$1-Tablo2[[#This Row],[Başlangıç]])*24,(Tablo2[[#This Row],[Bitiş]]-Tablo2[[#This Row],[Başlangıç]])*24)))</f>
        <v>57.500000000058208</v>
      </c>
    </row>
    <row r="2140" spans="1:5" x14ac:dyDescent="0.3">
      <c r="A2140">
        <v>619</v>
      </c>
      <c r="B2140" t="s">
        <v>179</v>
      </c>
      <c r="C2140" s="1">
        <v>44659.625</v>
      </c>
      <c r="D2140" s="1">
        <v>44659.645833333336</v>
      </c>
      <c r="E214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41" spans="1:5" x14ac:dyDescent="0.3">
      <c r="A2141">
        <v>619</v>
      </c>
      <c r="B2141" t="s">
        <v>68</v>
      </c>
      <c r="C2141" s="1">
        <v>44665.375</v>
      </c>
      <c r="D2141" s="1">
        <v>44667</v>
      </c>
      <c r="E2141" s="17">
        <f>IF(Tablo2[[#This Row],[Başlangıç]]="","",(IF(Tablo2[[#This Row],[Bitiş]]="",($G$1-Tablo2[[#This Row],[Başlangıç]])*24,(Tablo2[[#This Row],[Bitiş]]-Tablo2[[#This Row],[Başlangıç]])*24)))</f>
        <v>39</v>
      </c>
    </row>
    <row r="2142" spans="1:5" x14ac:dyDescent="0.3">
      <c r="A2142">
        <v>619</v>
      </c>
      <c r="B2142" t="s">
        <v>37</v>
      </c>
      <c r="C2142" s="1">
        <v>44661.128472222219</v>
      </c>
      <c r="D2142" s="1">
        <v>44667</v>
      </c>
      <c r="E2142" s="17">
        <f>IF(Tablo2[[#This Row],[Başlangıç]]="","",(IF(Tablo2[[#This Row],[Bitiş]]="",($G$1-Tablo2[[#This Row],[Başlangıç]])*24,(Tablo2[[#This Row],[Bitiş]]-Tablo2[[#This Row],[Başlangıç]])*24)))</f>
        <v>140.91666666674428</v>
      </c>
    </row>
    <row r="2143" spans="1:5" x14ac:dyDescent="0.3">
      <c r="A2143">
        <v>619</v>
      </c>
      <c r="B2143" t="s">
        <v>65</v>
      </c>
      <c r="C2143" s="1">
        <v>44663.666666666664</v>
      </c>
      <c r="D2143" s="1">
        <v>44667.01666666667</v>
      </c>
      <c r="E2143" s="17">
        <f>IF(Tablo2[[#This Row],[Başlangıç]]="","",(IF(Tablo2[[#This Row],[Bitiş]]="",($G$1-Tablo2[[#This Row],[Başlangıç]])*24,(Tablo2[[#This Row],[Bitiş]]-Tablo2[[#This Row],[Başlangıç]])*24)))</f>
        <v>80.400000000139698</v>
      </c>
    </row>
    <row r="2144" spans="1:5" x14ac:dyDescent="0.3">
      <c r="A2144">
        <v>620</v>
      </c>
      <c r="B2144" t="s">
        <v>36</v>
      </c>
      <c r="C2144" s="1">
        <v>44661.479166666664</v>
      </c>
      <c r="D2144" s="1">
        <v>44662.753472222219</v>
      </c>
      <c r="E2144" s="17">
        <f>IF(Tablo2[[#This Row],[Başlangıç]]="","",(IF(Tablo2[[#This Row],[Bitiş]]="",($G$1-Tablo2[[#This Row],[Başlangıç]])*24,(Tablo2[[#This Row],[Bitiş]]-Tablo2[[#This Row],[Başlangıç]])*24)))</f>
        <v>30.583333333313931</v>
      </c>
    </row>
    <row r="2145" spans="1:5" x14ac:dyDescent="0.3">
      <c r="A2145">
        <v>620</v>
      </c>
      <c r="B2145" t="s">
        <v>84</v>
      </c>
      <c r="C2145" s="1">
        <v>44666.572916666664</v>
      </c>
      <c r="D2145" s="1">
        <v>44668</v>
      </c>
      <c r="E2145" s="17">
        <f>IF(Tablo2[[#This Row],[Başlangıç]]="","",(IF(Tablo2[[#This Row],[Bitiş]]="",($G$1-Tablo2[[#This Row],[Başlangıç]])*24,(Tablo2[[#This Row],[Bitiş]]-Tablo2[[#This Row],[Başlangıç]])*24)))</f>
        <v>34.250000000058208</v>
      </c>
    </row>
    <row r="2146" spans="1:5" x14ac:dyDescent="0.3">
      <c r="A2146">
        <v>620</v>
      </c>
      <c r="B2146" t="s">
        <v>179</v>
      </c>
      <c r="C2146" s="1">
        <v>44661</v>
      </c>
      <c r="D2146" s="1">
        <v>44661.020833333336</v>
      </c>
      <c r="E214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47" spans="1:5" x14ac:dyDescent="0.3">
      <c r="A2147">
        <v>620</v>
      </c>
      <c r="B2147" t="s">
        <v>68</v>
      </c>
      <c r="C2147" s="1">
        <v>44666.875</v>
      </c>
      <c r="D2147" s="1">
        <v>44668.708333333336</v>
      </c>
      <c r="E2147" s="17">
        <f>IF(Tablo2[[#This Row],[Başlangıç]]="","",(IF(Tablo2[[#This Row],[Bitiş]]="",($G$1-Tablo2[[#This Row],[Başlangıç]])*24,(Tablo2[[#This Row],[Bitiş]]-Tablo2[[#This Row],[Başlangıç]])*24)))</f>
        <v>44.000000000058208</v>
      </c>
    </row>
    <row r="2148" spans="1:5" x14ac:dyDescent="0.3">
      <c r="A2148">
        <v>620</v>
      </c>
      <c r="B2148" t="s">
        <v>37</v>
      </c>
      <c r="C2148" s="1">
        <v>44661.041666666664</v>
      </c>
      <c r="D2148" s="1">
        <v>44668</v>
      </c>
      <c r="E2148" s="17">
        <f>IF(Tablo2[[#This Row],[Başlangıç]]="","",(IF(Tablo2[[#This Row],[Bitiş]]="",($G$1-Tablo2[[#This Row],[Başlangıç]])*24,(Tablo2[[#This Row],[Bitiş]]-Tablo2[[#This Row],[Başlangıç]])*24)))</f>
        <v>167.00000000005821</v>
      </c>
    </row>
    <row r="2149" spans="1:5" x14ac:dyDescent="0.3">
      <c r="A2149">
        <v>620</v>
      </c>
      <c r="B2149" t="s">
        <v>65</v>
      </c>
      <c r="C2149" s="1">
        <v>44666.06527777778</v>
      </c>
      <c r="D2149" s="1">
        <v>44668</v>
      </c>
      <c r="E2149" s="17">
        <f>IF(Tablo2[[#This Row],[Başlangıç]]="","",(IF(Tablo2[[#This Row],[Bitiş]]="",($G$1-Tablo2[[#This Row],[Başlangıç]])*24,(Tablo2[[#This Row],[Bitiş]]-Tablo2[[#This Row],[Başlangıç]])*24)))</f>
        <v>46.433333333290648</v>
      </c>
    </row>
    <row r="2150" spans="1:5" x14ac:dyDescent="0.3">
      <c r="A2150">
        <v>621</v>
      </c>
      <c r="B2150" t="s">
        <v>36</v>
      </c>
      <c r="C2150" s="1">
        <v>44661.055555555555</v>
      </c>
      <c r="D2150" s="1">
        <v>44661.909722222219</v>
      </c>
      <c r="E2150" s="17">
        <f>IF(Tablo2[[#This Row],[Başlangıç]]="","",(IF(Tablo2[[#This Row],[Bitiş]]="",($G$1-Tablo2[[#This Row],[Başlangıç]])*24,(Tablo2[[#This Row],[Bitiş]]-Tablo2[[#This Row],[Başlangıç]])*24)))</f>
        <v>20.499999999941792</v>
      </c>
    </row>
    <row r="2151" spans="1:5" x14ac:dyDescent="0.3">
      <c r="A2151">
        <v>621</v>
      </c>
      <c r="B2151" t="s">
        <v>84</v>
      </c>
      <c r="C2151" s="1">
        <v>44667.166666666664</v>
      </c>
      <c r="D2151" s="1">
        <v>44668</v>
      </c>
      <c r="E2151" s="17">
        <f>IF(Tablo2[[#This Row],[Başlangıç]]="","",(IF(Tablo2[[#This Row],[Bitiş]]="",($G$1-Tablo2[[#This Row],[Başlangıç]])*24,(Tablo2[[#This Row],[Bitiş]]-Tablo2[[#This Row],[Başlangıç]])*24)))</f>
        <v>20.000000000058208</v>
      </c>
    </row>
    <row r="2152" spans="1:5" x14ac:dyDescent="0.3">
      <c r="A2152">
        <v>621</v>
      </c>
      <c r="B2152" t="s">
        <v>179</v>
      </c>
      <c r="C2152" s="1">
        <v>44661</v>
      </c>
      <c r="D2152" s="1">
        <v>44661.020833333336</v>
      </c>
      <c r="E215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53" spans="1:5" x14ac:dyDescent="0.3">
      <c r="A2153">
        <v>621</v>
      </c>
      <c r="B2153" t="s">
        <v>68</v>
      </c>
      <c r="C2153" s="1">
        <v>44667.552083333336</v>
      </c>
      <c r="D2153" s="1">
        <v>44668.823611111111</v>
      </c>
      <c r="E2153" s="17">
        <f>IF(Tablo2[[#This Row],[Başlangıç]]="","",(IF(Tablo2[[#This Row],[Bitiş]]="",($G$1-Tablo2[[#This Row],[Başlangıç]])*24,(Tablo2[[#This Row],[Bitiş]]-Tablo2[[#This Row],[Başlangıç]])*24)))</f>
        <v>30.516666666604578</v>
      </c>
    </row>
    <row r="2154" spans="1:5" x14ac:dyDescent="0.3">
      <c r="A2154">
        <v>621</v>
      </c>
      <c r="B2154" t="s">
        <v>37</v>
      </c>
      <c r="C2154" s="1">
        <v>44662.333333333336</v>
      </c>
      <c r="D2154" s="1">
        <v>44668.333333333336</v>
      </c>
      <c r="E2154" s="17">
        <f>IF(Tablo2[[#This Row],[Başlangıç]]="","",(IF(Tablo2[[#This Row],[Bitiş]]="",($G$1-Tablo2[[#This Row],[Başlangıç]])*24,(Tablo2[[#This Row],[Bitiş]]-Tablo2[[#This Row],[Başlangıç]])*24)))</f>
        <v>144</v>
      </c>
    </row>
    <row r="2155" spans="1:5" x14ac:dyDescent="0.3">
      <c r="A2155">
        <v>621</v>
      </c>
      <c r="B2155" t="s">
        <v>65</v>
      </c>
      <c r="C2155" s="1">
        <v>44664.583333333336</v>
      </c>
      <c r="D2155" s="1">
        <v>44668.333333333336</v>
      </c>
      <c r="E2155" s="17">
        <f>IF(Tablo2[[#This Row],[Başlangıç]]="","",(IF(Tablo2[[#This Row],[Bitiş]]="",($G$1-Tablo2[[#This Row],[Başlangıç]])*24,(Tablo2[[#This Row],[Bitiş]]-Tablo2[[#This Row],[Başlangıç]])*24)))</f>
        <v>90</v>
      </c>
    </row>
    <row r="2156" spans="1:5" x14ac:dyDescent="0.3">
      <c r="A2156">
        <v>622</v>
      </c>
      <c r="B2156" t="s">
        <v>36</v>
      </c>
      <c r="C2156" s="1">
        <v>44661.930555555555</v>
      </c>
      <c r="D2156" s="1">
        <v>44663.166666666664</v>
      </c>
      <c r="E2156" s="17">
        <f>IF(Tablo2[[#This Row],[Başlangıç]]="","",(IF(Tablo2[[#This Row],[Bitiş]]="",($G$1-Tablo2[[#This Row],[Başlangıç]])*24,(Tablo2[[#This Row],[Bitiş]]-Tablo2[[#This Row],[Başlangıç]])*24)))</f>
        <v>29.666666666627862</v>
      </c>
    </row>
    <row r="2157" spans="1:5" x14ac:dyDescent="0.3">
      <c r="A2157">
        <v>622</v>
      </c>
      <c r="B2157" t="s">
        <v>84</v>
      </c>
      <c r="C2157" s="1">
        <v>44665.763888888891</v>
      </c>
      <c r="D2157" s="1">
        <v>44668</v>
      </c>
      <c r="E2157" s="17">
        <f>IF(Tablo2[[#This Row],[Başlangıç]]="","",(IF(Tablo2[[#This Row],[Bitiş]]="",($G$1-Tablo2[[#This Row],[Başlangıç]])*24,(Tablo2[[#This Row],[Bitiş]]-Tablo2[[#This Row],[Başlangıç]])*24)))</f>
        <v>53.666666666627862</v>
      </c>
    </row>
    <row r="2158" spans="1:5" x14ac:dyDescent="0.3">
      <c r="A2158">
        <v>622</v>
      </c>
      <c r="B2158" t="s">
        <v>179</v>
      </c>
      <c r="C2158" s="1">
        <v>44661.958333333336</v>
      </c>
      <c r="D2158" s="1">
        <v>44661.979166666664</v>
      </c>
      <c r="E2158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159" spans="1:5" x14ac:dyDescent="0.3">
      <c r="A2159">
        <v>622</v>
      </c>
      <c r="B2159" t="s">
        <v>68</v>
      </c>
      <c r="C2159" s="1">
        <v>44667.065972222219</v>
      </c>
      <c r="D2159" s="1">
        <v>44668</v>
      </c>
      <c r="E2159" s="17">
        <f>IF(Tablo2[[#This Row],[Başlangıç]]="","",(IF(Tablo2[[#This Row],[Bitiş]]="",($G$1-Tablo2[[#This Row],[Başlangıç]])*24,(Tablo2[[#This Row],[Bitiş]]-Tablo2[[#This Row],[Başlangıç]])*24)))</f>
        <v>22.416666666744277</v>
      </c>
    </row>
    <row r="2160" spans="1:5" x14ac:dyDescent="0.3">
      <c r="A2160">
        <v>622</v>
      </c>
      <c r="B2160" t="s">
        <v>37</v>
      </c>
      <c r="C2160" s="1">
        <v>44663.340277777781</v>
      </c>
      <c r="D2160" s="1">
        <v>44668</v>
      </c>
      <c r="E2160" s="17">
        <f>IF(Tablo2[[#This Row],[Başlangıç]]="","",(IF(Tablo2[[#This Row],[Bitiş]]="",($G$1-Tablo2[[#This Row],[Başlangıç]])*24,(Tablo2[[#This Row],[Bitiş]]-Tablo2[[#This Row],[Başlangıç]])*24)))</f>
        <v>111.83333333325572</v>
      </c>
    </row>
    <row r="2161" spans="1:5" x14ac:dyDescent="0.3">
      <c r="A2161">
        <v>622</v>
      </c>
      <c r="B2161" t="s">
        <v>65</v>
      </c>
      <c r="C2161" s="1">
        <v>44664.416666666664</v>
      </c>
      <c r="D2161" s="1">
        <v>44668</v>
      </c>
      <c r="E2161" s="17">
        <f>IF(Tablo2[[#This Row],[Başlangıç]]="","",(IF(Tablo2[[#This Row],[Bitiş]]="",($G$1-Tablo2[[#This Row],[Başlangıç]])*24,(Tablo2[[#This Row],[Bitiş]]-Tablo2[[#This Row],[Başlangıç]])*24)))</f>
        <v>86.000000000058208</v>
      </c>
    </row>
    <row r="2162" spans="1:5" x14ac:dyDescent="0.3">
      <c r="A2162">
        <v>623</v>
      </c>
      <c r="B2162" t="s">
        <v>36</v>
      </c>
      <c r="C2162" s="1">
        <v>44663.301388888889</v>
      </c>
      <c r="D2162" s="1">
        <v>44669.080555555556</v>
      </c>
      <c r="E2162" s="17">
        <f>IF(Tablo2[[#This Row],[Başlangıç]]="","",(IF(Tablo2[[#This Row],[Bitiş]]="",($G$1-Tablo2[[#This Row],[Başlangıç]])*24,(Tablo2[[#This Row],[Bitiş]]-Tablo2[[#This Row],[Başlangıç]])*24)))</f>
        <v>138.70000000001164</v>
      </c>
    </row>
    <row r="2163" spans="1:5" x14ac:dyDescent="0.3">
      <c r="A2163">
        <v>623</v>
      </c>
      <c r="B2163" t="s">
        <v>84</v>
      </c>
      <c r="C2163" s="1">
        <v>44666.068749999999</v>
      </c>
      <c r="D2163" s="1">
        <v>44669</v>
      </c>
      <c r="E2163" s="17">
        <f>IF(Tablo2[[#This Row],[Başlangıç]]="","",(IF(Tablo2[[#This Row],[Bitiş]]="",($G$1-Tablo2[[#This Row],[Başlangıç]])*24,(Tablo2[[#This Row],[Bitiş]]-Tablo2[[#This Row],[Başlangıç]])*24)))</f>
        <v>70.350000000034925</v>
      </c>
    </row>
    <row r="2164" spans="1:5" x14ac:dyDescent="0.3">
      <c r="A2164">
        <v>623</v>
      </c>
      <c r="B2164" t="s">
        <v>179</v>
      </c>
      <c r="C2164" s="1">
        <v>44663</v>
      </c>
      <c r="D2164" s="1">
        <v>44663.020833333336</v>
      </c>
      <c r="E216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65" spans="1:5" x14ac:dyDescent="0.3">
      <c r="A2165">
        <v>623</v>
      </c>
      <c r="B2165" t="s">
        <v>68</v>
      </c>
      <c r="C2165" s="1">
        <v>44666.6875</v>
      </c>
      <c r="D2165" s="1">
        <v>44670.116666666669</v>
      </c>
      <c r="E2165" s="17">
        <f>IF(Tablo2[[#This Row],[Başlangıç]]="","",(IF(Tablo2[[#This Row],[Bitiş]]="",($G$1-Tablo2[[#This Row],[Başlangıç]])*24,(Tablo2[[#This Row],[Bitiş]]-Tablo2[[#This Row],[Başlangıç]])*24)))</f>
        <v>82.300000000046566</v>
      </c>
    </row>
    <row r="2166" spans="1:5" x14ac:dyDescent="0.3">
      <c r="A2166">
        <v>623</v>
      </c>
      <c r="B2166" t="s">
        <v>37</v>
      </c>
      <c r="C2166" s="1">
        <v>44664.583333333336</v>
      </c>
      <c r="D2166" s="1">
        <v>44668.333333333336</v>
      </c>
      <c r="E2166" s="17">
        <f>IF(Tablo2[[#This Row],[Başlangıç]]="","",(IF(Tablo2[[#This Row],[Bitiş]]="",($G$1-Tablo2[[#This Row],[Başlangıç]])*24,(Tablo2[[#This Row],[Bitiş]]-Tablo2[[#This Row],[Başlangıç]])*24)))</f>
        <v>90</v>
      </c>
    </row>
    <row r="2167" spans="1:5" x14ac:dyDescent="0.3">
      <c r="A2167">
        <v>623</v>
      </c>
      <c r="B2167" t="s">
        <v>65</v>
      </c>
      <c r="C2167" s="1">
        <v>44664.673611111109</v>
      </c>
      <c r="D2167" s="1">
        <v>44669</v>
      </c>
      <c r="E2167" s="17">
        <f>IF(Tablo2[[#This Row],[Başlangıç]]="","",(IF(Tablo2[[#This Row],[Bitiş]]="",($G$1-Tablo2[[#This Row],[Başlangıç]])*24,(Tablo2[[#This Row],[Bitiş]]-Tablo2[[#This Row],[Başlangıç]])*24)))</f>
        <v>103.83333333337214</v>
      </c>
    </row>
    <row r="2168" spans="1:5" x14ac:dyDescent="0.3">
      <c r="A2168">
        <v>624</v>
      </c>
      <c r="B2168" t="s">
        <v>36</v>
      </c>
      <c r="C2168" s="1">
        <v>44664.010416666664</v>
      </c>
      <c r="D2168" s="1">
        <v>44664.229166666664</v>
      </c>
      <c r="E2168" s="17">
        <f>IF(Tablo2[[#This Row],[Başlangıç]]="","",(IF(Tablo2[[#This Row],[Bitiş]]="",($G$1-Tablo2[[#This Row],[Başlangıç]])*24,(Tablo2[[#This Row],[Bitiş]]-Tablo2[[#This Row],[Başlangıç]])*24)))</f>
        <v>5.25</v>
      </c>
    </row>
    <row r="2169" spans="1:5" x14ac:dyDescent="0.3">
      <c r="A2169">
        <v>624</v>
      </c>
      <c r="B2169" t="s">
        <v>84</v>
      </c>
      <c r="C2169" s="1">
        <v>44667.486111111109</v>
      </c>
      <c r="D2169" s="1">
        <v>44669</v>
      </c>
      <c r="E2169" s="17">
        <f>IF(Tablo2[[#This Row],[Başlangıç]]="","",(IF(Tablo2[[#This Row],[Bitiş]]="",($G$1-Tablo2[[#This Row],[Başlangıç]])*24,(Tablo2[[#This Row],[Bitiş]]-Tablo2[[#This Row],[Başlangıç]])*24)))</f>
        <v>36.333333333372138</v>
      </c>
    </row>
    <row r="2170" spans="1:5" x14ac:dyDescent="0.3">
      <c r="A2170">
        <v>624</v>
      </c>
      <c r="B2170" t="s">
        <v>179</v>
      </c>
      <c r="C2170" s="1">
        <v>44663.958333333336</v>
      </c>
      <c r="D2170" s="1">
        <v>44663.979166666664</v>
      </c>
      <c r="E217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171" spans="1:5" x14ac:dyDescent="0.3">
      <c r="A2171">
        <v>624</v>
      </c>
      <c r="B2171" t="s">
        <v>68</v>
      </c>
      <c r="C2171" s="1">
        <v>44668.010416666664</v>
      </c>
      <c r="D2171" s="1">
        <v>44669.340277777781</v>
      </c>
      <c r="E2171" s="17">
        <f>IF(Tablo2[[#This Row],[Başlangıç]]="","",(IF(Tablo2[[#This Row],[Bitiş]]="",($G$1-Tablo2[[#This Row],[Başlangıç]])*24,(Tablo2[[#This Row],[Bitiş]]-Tablo2[[#This Row],[Başlangıç]])*24)))</f>
        <v>31.916666666802485</v>
      </c>
    </row>
    <row r="2172" spans="1:5" x14ac:dyDescent="0.3">
      <c r="A2172">
        <v>624</v>
      </c>
      <c r="B2172" t="s">
        <v>37</v>
      </c>
      <c r="C2172" s="1">
        <v>44665.833333333336</v>
      </c>
      <c r="D2172" s="1">
        <v>44669.205555555556</v>
      </c>
      <c r="E2172" s="17">
        <f>IF(Tablo2[[#This Row],[Başlangıç]]="","",(IF(Tablo2[[#This Row],[Bitiş]]="",($G$1-Tablo2[[#This Row],[Başlangıç]])*24,(Tablo2[[#This Row],[Bitiş]]-Tablo2[[#This Row],[Başlangıç]])*24)))</f>
        <v>80.933333333290648</v>
      </c>
    </row>
    <row r="2173" spans="1:5" x14ac:dyDescent="0.3">
      <c r="A2173">
        <v>624</v>
      </c>
      <c r="B2173" t="s">
        <v>65</v>
      </c>
      <c r="C2173" s="1">
        <v>44664.75</v>
      </c>
      <c r="D2173" s="1">
        <v>44669.15625</v>
      </c>
      <c r="E2173" s="17">
        <f>IF(Tablo2[[#This Row],[Başlangıç]]="","",(IF(Tablo2[[#This Row],[Bitiş]]="",($G$1-Tablo2[[#This Row],[Başlangıç]])*24,(Tablo2[[#This Row],[Bitiş]]-Tablo2[[#This Row],[Başlangıç]])*24)))</f>
        <v>105.75</v>
      </c>
    </row>
    <row r="2174" spans="1:5" x14ac:dyDescent="0.3">
      <c r="A2174">
        <v>625</v>
      </c>
      <c r="B2174" t="s">
        <v>36</v>
      </c>
      <c r="C2174" s="1">
        <v>44664.375</v>
      </c>
      <c r="D2174" s="1">
        <v>44669.12222222222</v>
      </c>
      <c r="E2174" s="17">
        <f>IF(Tablo2[[#This Row],[Başlangıç]]="","",(IF(Tablo2[[#This Row],[Bitiş]]="",($G$1-Tablo2[[#This Row],[Başlangıç]])*24,(Tablo2[[#This Row],[Bitiş]]-Tablo2[[#This Row],[Başlangıç]])*24)))</f>
        <v>113.93333333329065</v>
      </c>
    </row>
    <row r="2175" spans="1:5" x14ac:dyDescent="0.3">
      <c r="A2175">
        <v>625</v>
      </c>
      <c r="B2175" t="s">
        <v>84</v>
      </c>
      <c r="C2175" s="1">
        <v>44666.229166666664</v>
      </c>
      <c r="D2175" s="1">
        <v>44669.416666666664</v>
      </c>
      <c r="E2175" s="17">
        <f>IF(Tablo2[[#This Row],[Başlangıç]]="","",(IF(Tablo2[[#This Row],[Bitiş]]="",($G$1-Tablo2[[#This Row],[Başlangıç]])*24,(Tablo2[[#This Row],[Bitiş]]-Tablo2[[#This Row],[Başlangıç]])*24)))</f>
        <v>76.5</v>
      </c>
    </row>
    <row r="2176" spans="1:5" x14ac:dyDescent="0.3">
      <c r="A2176">
        <v>625</v>
      </c>
      <c r="B2176" t="s">
        <v>179</v>
      </c>
      <c r="C2176" s="1">
        <v>44664.333333333336</v>
      </c>
      <c r="D2176" s="1">
        <v>44664.354166666664</v>
      </c>
      <c r="E2176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177" spans="1:5" x14ac:dyDescent="0.3">
      <c r="A2177">
        <v>625</v>
      </c>
      <c r="B2177" t="s">
        <v>68</v>
      </c>
      <c r="C2177" s="1">
        <v>44666.75</v>
      </c>
      <c r="D2177" s="1">
        <v>44669.25</v>
      </c>
      <c r="E2177" s="17">
        <f>IF(Tablo2[[#This Row],[Başlangıç]]="","",(IF(Tablo2[[#This Row],[Bitiş]]="",($G$1-Tablo2[[#This Row],[Başlangıç]])*24,(Tablo2[[#This Row],[Bitiş]]-Tablo2[[#This Row],[Başlangıç]])*24)))</f>
        <v>60</v>
      </c>
    </row>
    <row r="2178" spans="1:5" x14ac:dyDescent="0.3">
      <c r="A2178">
        <v>625</v>
      </c>
      <c r="B2178" t="s">
        <v>37</v>
      </c>
      <c r="C2178" s="1">
        <v>44665.3125</v>
      </c>
      <c r="D2178" s="1">
        <v>44669.074999999997</v>
      </c>
      <c r="E2178" s="17">
        <f>IF(Tablo2[[#This Row],[Başlangıç]]="","",(IF(Tablo2[[#This Row],[Bitiş]]="",($G$1-Tablo2[[#This Row],[Başlangıç]])*24,(Tablo2[[#This Row],[Bitiş]]-Tablo2[[#This Row],[Başlangıç]])*24)))</f>
        <v>90.299999999930151</v>
      </c>
    </row>
    <row r="2179" spans="1:5" x14ac:dyDescent="0.3">
      <c r="A2179">
        <v>625</v>
      </c>
      <c r="B2179" t="s">
        <v>65</v>
      </c>
      <c r="C2179" s="1">
        <v>44665.756944444445</v>
      </c>
      <c r="D2179" s="1">
        <v>44667</v>
      </c>
      <c r="E2179" s="17">
        <f>IF(Tablo2[[#This Row],[Başlangıç]]="","",(IF(Tablo2[[#This Row],[Bitiş]]="",($G$1-Tablo2[[#This Row],[Başlangıç]])*24,(Tablo2[[#This Row],[Bitiş]]-Tablo2[[#This Row],[Başlangıç]])*24)))</f>
        <v>29.833333333313931</v>
      </c>
    </row>
    <row r="2180" spans="1:5" x14ac:dyDescent="0.3">
      <c r="A2180">
        <v>626</v>
      </c>
      <c r="B2180" t="s">
        <v>36</v>
      </c>
      <c r="C2180" s="1">
        <v>44664.270833333336</v>
      </c>
      <c r="D2180" s="1">
        <v>44665.222222222219</v>
      </c>
      <c r="E2180" s="17">
        <f>IF(Tablo2[[#This Row],[Başlangıç]]="","",(IF(Tablo2[[#This Row],[Bitiş]]="",($G$1-Tablo2[[#This Row],[Başlangıç]])*24,(Tablo2[[#This Row],[Bitiş]]-Tablo2[[#This Row],[Başlangıç]])*24)))</f>
        <v>22.833333333197515</v>
      </c>
    </row>
    <row r="2181" spans="1:5" x14ac:dyDescent="0.3">
      <c r="A2181">
        <v>626</v>
      </c>
      <c r="B2181" t="s">
        <v>84</v>
      </c>
      <c r="C2181" s="1"/>
      <c r="D2181" s="1"/>
      <c r="E2181" s="17" t="str">
        <f>IF(Tablo2[[#This Row],[Başlangıç]]="","",(IF(Tablo2[[#This Row],[Bitiş]]="",($G$1-Tablo2[[#This Row],[Başlangıç]])*24,(Tablo2[[#This Row],[Bitiş]]-Tablo2[[#This Row],[Başlangıç]])*24)))</f>
        <v/>
      </c>
    </row>
    <row r="2182" spans="1:5" x14ac:dyDescent="0.3">
      <c r="A2182">
        <v>626</v>
      </c>
      <c r="B2182" t="s">
        <v>179</v>
      </c>
      <c r="C2182" s="1">
        <v>44664.375</v>
      </c>
      <c r="D2182" s="1">
        <v>44664.395833333336</v>
      </c>
      <c r="E218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83" spans="1:5" x14ac:dyDescent="0.3">
      <c r="A2183">
        <v>626</v>
      </c>
      <c r="B2183" t="s">
        <v>68</v>
      </c>
      <c r="C2183" s="1"/>
      <c r="D2183" s="1"/>
      <c r="E2183" s="17" t="str">
        <f>IF(Tablo2[[#This Row],[Başlangıç]]="","",(IF(Tablo2[[#This Row],[Bitiş]]="",($G$1-Tablo2[[#This Row],[Başlangıç]])*24,(Tablo2[[#This Row],[Bitiş]]-Tablo2[[#This Row],[Başlangıç]])*24)))</f>
        <v/>
      </c>
    </row>
    <row r="2184" spans="1:5" x14ac:dyDescent="0.3">
      <c r="A2184">
        <v>626</v>
      </c>
      <c r="B2184" t="s">
        <v>37</v>
      </c>
      <c r="C2184" s="1">
        <v>44671.041666666664</v>
      </c>
      <c r="D2184" s="1">
        <v>44672.270833333336</v>
      </c>
      <c r="E2184" s="17">
        <f>IF(Tablo2[[#This Row],[Başlangıç]]="","",(IF(Tablo2[[#This Row],[Bitiş]]="",($G$1-Tablo2[[#This Row],[Başlangıç]])*24,(Tablo2[[#This Row],[Bitiş]]-Tablo2[[#This Row],[Başlangıç]])*24)))</f>
        <v>29.500000000116415</v>
      </c>
    </row>
    <row r="2185" spans="1:5" x14ac:dyDescent="0.3">
      <c r="A2185">
        <v>626</v>
      </c>
      <c r="B2185" t="s">
        <v>65</v>
      </c>
      <c r="C2185" s="1">
        <v>44668</v>
      </c>
      <c r="D2185" s="1"/>
      <c r="E2185" s="17">
        <f ca="1">IF(Tablo2[[#This Row],[Başlangıç]]="","",(IF(Tablo2[[#This Row],[Bitiş]]="",($G$1-Tablo2[[#This Row],[Başlangıç]])*24,(Tablo2[[#This Row],[Bitiş]]-Tablo2[[#This Row],[Başlangıç]])*24)))</f>
        <v>192</v>
      </c>
    </row>
    <row r="2186" spans="1:5" x14ac:dyDescent="0.3">
      <c r="A2186">
        <v>627</v>
      </c>
      <c r="B2186" t="s">
        <v>36</v>
      </c>
      <c r="C2186" s="1">
        <v>44665.458333333336</v>
      </c>
      <c r="D2186" s="1">
        <v>44670.081250000003</v>
      </c>
      <c r="E2186" s="17">
        <f>IF(Tablo2[[#This Row],[Başlangıç]]="","",(IF(Tablo2[[#This Row],[Bitiş]]="",($G$1-Tablo2[[#This Row],[Başlangıç]])*24,(Tablo2[[#This Row],[Bitiş]]-Tablo2[[#This Row],[Başlangıç]])*24)))</f>
        <v>110.95000000001164</v>
      </c>
    </row>
    <row r="2187" spans="1:5" x14ac:dyDescent="0.3">
      <c r="A2187">
        <v>627</v>
      </c>
      <c r="B2187" t="s">
        <v>84</v>
      </c>
      <c r="C2187" s="1">
        <v>44668.041666666664</v>
      </c>
      <c r="D2187" s="1">
        <v>44671</v>
      </c>
      <c r="E2187" s="17">
        <f>IF(Tablo2[[#This Row],[Başlangıç]]="","",(IF(Tablo2[[#This Row],[Bitiş]]="",($G$1-Tablo2[[#This Row],[Başlangıç]])*24,(Tablo2[[#This Row],[Bitiş]]-Tablo2[[#This Row],[Başlangıç]])*24)))</f>
        <v>71.000000000058208</v>
      </c>
    </row>
    <row r="2188" spans="1:5" x14ac:dyDescent="0.3">
      <c r="A2188">
        <v>627</v>
      </c>
      <c r="B2188" t="s">
        <v>179</v>
      </c>
      <c r="C2188" s="1">
        <v>44665</v>
      </c>
      <c r="D2188" s="1">
        <v>44665.020833333336</v>
      </c>
      <c r="E218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89" spans="1:5" x14ac:dyDescent="0.3">
      <c r="A2189">
        <v>627</v>
      </c>
      <c r="B2189" t="s">
        <v>68</v>
      </c>
      <c r="C2189" s="1">
        <v>44668.4375</v>
      </c>
      <c r="D2189" s="1">
        <v>44670.427083333336</v>
      </c>
      <c r="E2189" s="17">
        <f>IF(Tablo2[[#This Row],[Başlangıç]]="","",(IF(Tablo2[[#This Row],[Bitiş]]="",($G$1-Tablo2[[#This Row],[Başlangıç]])*24,(Tablo2[[#This Row],[Bitiş]]-Tablo2[[#This Row],[Başlangıç]])*24)))</f>
        <v>47.750000000058208</v>
      </c>
    </row>
    <row r="2190" spans="1:5" x14ac:dyDescent="0.3">
      <c r="A2190">
        <v>627</v>
      </c>
      <c r="B2190" t="s">
        <v>37</v>
      </c>
      <c r="C2190" s="1">
        <v>44665.833333333336</v>
      </c>
      <c r="D2190" s="1">
        <v>44671</v>
      </c>
      <c r="E2190" s="17">
        <f>IF(Tablo2[[#This Row],[Başlangıç]]="","",(IF(Tablo2[[#This Row],[Bitiş]]="",($G$1-Tablo2[[#This Row],[Başlangıç]])*24,(Tablo2[[#This Row],[Bitiş]]-Tablo2[[#This Row],[Başlangıç]])*24)))</f>
        <v>123.99999999994179</v>
      </c>
    </row>
    <row r="2191" spans="1:5" x14ac:dyDescent="0.3">
      <c r="A2191">
        <v>627</v>
      </c>
      <c r="B2191" t="s">
        <v>65</v>
      </c>
      <c r="C2191" s="1">
        <v>44667.354166666664</v>
      </c>
      <c r="D2191" s="1">
        <v>44671</v>
      </c>
      <c r="E2191" s="17">
        <f>IF(Tablo2[[#This Row],[Başlangıç]]="","",(IF(Tablo2[[#This Row],[Bitiş]]="",($G$1-Tablo2[[#This Row],[Başlangıç]])*24,(Tablo2[[#This Row],[Bitiş]]-Tablo2[[#This Row],[Başlangıç]])*24)))</f>
        <v>87.500000000058208</v>
      </c>
    </row>
    <row r="2192" spans="1:5" x14ac:dyDescent="0.3">
      <c r="A2192">
        <v>628</v>
      </c>
      <c r="B2192" t="s">
        <v>36</v>
      </c>
      <c r="C2192" s="1">
        <v>44665.25</v>
      </c>
      <c r="D2192" s="1">
        <v>44666.284722222219</v>
      </c>
      <c r="E2192" s="17">
        <f>IF(Tablo2[[#This Row],[Başlangıç]]="","",(IF(Tablo2[[#This Row],[Bitiş]]="",($G$1-Tablo2[[#This Row],[Başlangıç]])*24,(Tablo2[[#This Row],[Bitiş]]-Tablo2[[#This Row],[Başlangıç]])*24)))</f>
        <v>24.833333333255723</v>
      </c>
    </row>
    <row r="2193" spans="1:5" x14ac:dyDescent="0.3">
      <c r="A2193">
        <v>628</v>
      </c>
      <c r="B2193" t="s">
        <v>84</v>
      </c>
      <c r="C2193" s="1">
        <v>44671.208333333336</v>
      </c>
      <c r="D2193" s="1">
        <v>44671.75</v>
      </c>
      <c r="E2193" s="17">
        <f>IF(Tablo2[[#This Row],[Başlangıç]]="","",(IF(Tablo2[[#This Row],[Bitiş]]="",($G$1-Tablo2[[#This Row],[Başlangıç]])*24,(Tablo2[[#This Row],[Bitiş]]-Tablo2[[#This Row],[Başlangıç]])*24)))</f>
        <v>12.999999999941792</v>
      </c>
    </row>
    <row r="2194" spans="1:5" x14ac:dyDescent="0.3">
      <c r="A2194">
        <v>628</v>
      </c>
      <c r="B2194" t="s">
        <v>179</v>
      </c>
      <c r="C2194" s="1">
        <v>44665</v>
      </c>
      <c r="D2194" s="1">
        <v>44665.020833333336</v>
      </c>
      <c r="E219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195" spans="1:5" x14ac:dyDescent="0.3">
      <c r="A2195">
        <v>628</v>
      </c>
      <c r="B2195" t="s">
        <v>68</v>
      </c>
      <c r="C2195" s="1">
        <v>44671.5625</v>
      </c>
      <c r="D2195" s="1">
        <v>44671.982638888891</v>
      </c>
      <c r="E2195" s="17">
        <f>IF(Tablo2[[#This Row],[Başlangıç]]="","",(IF(Tablo2[[#This Row],[Bitiş]]="",($G$1-Tablo2[[#This Row],[Başlangıç]])*24,(Tablo2[[#This Row],[Bitiş]]-Tablo2[[#This Row],[Başlangıç]])*24)))</f>
        <v>10.083333333372138</v>
      </c>
    </row>
    <row r="2196" spans="1:5" x14ac:dyDescent="0.3">
      <c r="A2196">
        <v>628</v>
      </c>
      <c r="B2196" t="s">
        <v>37</v>
      </c>
      <c r="C2196" s="1">
        <v>44666.368055555555</v>
      </c>
      <c r="D2196" s="1">
        <v>44672.458333333336</v>
      </c>
      <c r="E2196" s="17">
        <f>IF(Tablo2[[#This Row],[Başlangıç]]="","",(IF(Tablo2[[#This Row],[Bitiş]]="",($G$1-Tablo2[[#This Row],[Başlangıç]])*24,(Tablo2[[#This Row],[Bitiş]]-Tablo2[[#This Row],[Başlangıç]])*24)))</f>
        <v>146.16666666674428</v>
      </c>
    </row>
    <row r="2197" spans="1:5" x14ac:dyDescent="0.3">
      <c r="A2197">
        <v>628</v>
      </c>
      <c r="B2197" t="s">
        <v>65</v>
      </c>
      <c r="C2197" s="1">
        <v>44669.677083333336</v>
      </c>
      <c r="D2197" s="1">
        <v>44671.104166666664</v>
      </c>
      <c r="E2197" s="17">
        <f>IF(Tablo2[[#This Row],[Başlangıç]]="","",(IF(Tablo2[[#This Row],[Bitiş]]="",($G$1-Tablo2[[#This Row],[Başlangıç]])*24,(Tablo2[[#This Row],[Bitiş]]-Tablo2[[#This Row],[Başlangıç]])*24)))</f>
        <v>34.249999999883585</v>
      </c>
    </row>
    <row r="2198" spans="1:5" x14ac:dyDescent="0.3">
      <c r="A2198">
        <v>629</v>
      </c>
      <c r="B2198" t="s">
        <v>36</v>
      </c>
      <c r="C2198" s="1">
        <v>44666.833333333336</v>
      </c>
      <c r="D2198" s="1">
        <v>44670.1</v>
      </c>
      <c r="E2198" s="17">
        <f>IF(Tablo2[[#This Row],[Başlangıç]]="","",(IF(Tablo2[[#This Row],[Bitiş]]="",($G$1-Tablo2[[#This Row],[Başlangıç]])*24,(Tablo2[[#This Row],[Bitiş]]-Tablo2[[#This Row],[Başlangıç]])*24)))</f>
        <v>78.399999999906868</v>
      </c>
    </row>
    <row r="2199" spans="1:5" x14ac:dyDescent="0.3">
      <c r="A2199">
        <v>629</v>
      </c>
      <c r="B2199" t="s">
        <v>84</v>
      </c>
      <c r="C2199" s="1">
        <v>44668.041666666664</v>
      </c>
      <c r="D2199" s="1">
        <v>44669</v>
      </c>
      <c r="E2199" s="17">
        <f>IF(Tablo2[[#This Row],[Başlangıç]]="","",(IF(Tablo2[[#This Row],[Bitiş]]="",($G$1-Tablo2[[#This Row],[Başlangıç]])*24,(Tablo2[[#This Row],[Bitiş]]-Tablo2[[#This Row],[Başlangıç]])*24)))</f>
        <v>23.000000000058208</v>
      </c>
    </row>
    <row r="2200" spans="1:5" x14ac:dyDescent="0.3">
      <c r="A2200">
        <v>629</v>
      </c>
      <c r="B2200" t="s">
        <v>179</v>
      </c>
      <c r="C2200" s="1">
        <v>44666.90625</v>
      </c>
      <c r="D2200" s="1">
        <v>44666.927083333336</v>
      </c>
      <c r="E220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01" spans="1:5" x14ac:dyDescent="0.3">
      <c r="A2201">
        <v>629</v>
      </c>
      <c r="B2201" t="s">
        <v>68</v>
      </c>
      <c r="C2201" s="1">
        <v>44668.59375</v>
      </c>
      <c r="D2201" s="1">
        <v>44669.770833333336</v>
      </c>
      <c r="E2201" s="17">
        <f>IF(Tablo2[[#This Row],[Başlangıç]]="","",(IF(Tablo2[[#This Row],[Bitiş]]="",($G$1-Tablo2[[#This Row],[Başlangıç]])*24,(Tablo2[[#This Row],[Bitiş]]-Tablo2[[#This Row],[Başlangıç]])*24)))</f>
        <v>28.250000000058208</v>
      </c>
    </row>
    <row r="2202" spans="1:5" x14ac:dyDescent="0.3">
      <c r="A2202">
        <v>629</v>
      </c>
      <c r="B2202" t="s">
        <v>37</v>
      </c>
      <c r="C2202" s="1">
        <v>44666.916666666664</v>
      </c>
      <c r="D2202" s="1">
        <v>44670</v>
      </c>
      <c r="E2202" s="17">
        <f>IF(Tablo2[[#This Row],[Başlangıç]]="","",(IF(Tablo2[[#This Row],[Bitiş]]="",($G$1-Tablo2[[#This Row],[Başlangıç]])*24,(Tablo2[[#This Row],[Bitiş]]-Tablo2[[#This Row],[Başlangıç]])*24)))</f>
        <v>74.000000000058208</v>
      </c>
    </row>
    <row r="2203" spans="1:5" x14ac:dyDescent="0.3">
      <c r="A2203">
        <v>629</v>
      </c>
      <c r="B2203" t="s">
        <v>65</v>
      </c>
      <c r="C2203" s="1">
        <v>44667.673611111109</v>
      </c>
      <c r="D2203" s="1">
        <v>44668</v>
      </c>
      <c r="E2203" s="17">
        <f>IF(Tablo2[[#This Row],[Başlangıç]]="","",(IF(Tablo2[[#This Row],[Bitiş]]="",($G$1-Tablo2[[#This Row],[Başlangıç]])*24,(Tablo2[[#This Row],[Bitiş]]-Tablo2[[#This Row],[Başlangıç]])*24)))</f>
        <v>7.8333333333721384</v>
      </c>
    </row>
    <row r="2204" spans="1:5" x14ac:dyDescent="0.3">
      <c r="A2204">
        <v>630</v>
      </c>
      <c r="B2204" t="s">
        <v>36</v>
      </c>
      <c r="C2204" s="1">
        <v>44667.1875</v>
      </c>
      <c r="D2204" s="1">
        <v>44667.854166666664</v>
      </c>
      <c r="E2204" s="17">
        <f>IF(Tablo2[[#This Row],[Başlangıç]]="","",(IF(Tablo2[[#This Row],[Bitiş]]="",($G$1-Tablo2[[#This Row],[Başlangıç]])*24,(Tablo2[[#This Row],[Bitiş]]-Tablo2[[#This Row],[Başlangıç]])*24)))</f>
        <v>15.999999999941792</v>
      </c>
    </row>
    <row r="2205" spans="1:5" x14ac:dyDescent="0.3">
      <c r="A2205">
        <v>630</v>
      </c>
      <c r="B2205" t="s">
        <v>84</v>
      </c>
      <c r="C2205" s="1">
        <v>44672.229166666664</v>
      </c>
      <c r="D2205" s="1">
        <v>44672.458333333336</v>
      </c>
      <c r="E2205" s="17">
        <f>IF(Tablo2[[#This Row],[Başlangıç]]="","",(IF(Tablo2[[#This Row],[Bitiş]]="",($G$1-Tablo2[[#This Row],[Başlangıç]])*24,(Tablo2[[#This Row],[Bitiş]]-Tablo2[[#This Row],[Başlangıç]])*24)))</f>
        <v>5.5000000001164153</v>
      </c>
    </row>
    <row r="2206" spans="1:5" x14ac:dyDescent="0.3">
      <c r="A2206">
        <v>630</v>
      </c>
      <c r="B2206" t="s">
        <v>179</v>
      </c>
      <c r="C2206" s="1">
        <v>44667.682638888888</v>
      </c>
      <c r="D2206" s="1">
        <v>44667.703472222223</v>
      </c>
      <c r="E220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07" spans="1:5" x14ac:dyDescent="0.3">
      <c r="A2207">
        <v>630</v>
      </c>
      <c r="B2207" t="s">
        <v>68</v>
      </c>
      <c r="C2207" s="1"/>
      <c r="D2207" s="1"/>
      <c r="E2207" s="17" t="str">
        <f>IF(Tablo2[[#This Row],[Başlangıç]]="","",(IF(Tablo2[[#This Row],[Bitiş]]="",($G$1-Tablo2[[#This Row],[Başlangıç]])*24,(Tablo2[[#This Row],[Bitiş]]-Tablo2[[#This Row],[Başlangıç]])*24)))</f>
        <v/>
      </c>
    </row>
    <row r="2208" spans="1:5" x14ac:dyDescent="0.3">
      <c r="A2208">
        <v>630</v>
      </c>
      <c r="B2208" t="s">
        <v>37</v>
      </c>
      <c r="C2208" s="1">
        <v>44668.340277777781</v>
      </c>
      <c r="D2208" s="1">
        <v>44672.0625</v>
      </c>
      <c r="E2208" s="17">
        <f>IF(Tablo2[[#This Row],[Başlangıç]]="","",(IF(Tablo2[[#This Row],[Bitiş]]="",($G$1-Tablo2[[#This Row],[Başlangıç]])*24,(Tablo2[[#This Row],[Bitiş]]-Tablo2[[#This Row],[Başlangıç]])*24)))</f>
        <v>89.333333333255723</v>
      </c>
    </row>
    <row r="2209" spans="1:5" x14ac:dyDescent="0.3">
      <c r="A2209">
        <v>630</v>
      </c>
      <c r="B2209" t="s">
        <v>65</v>
      </c>
      <c r="C2209" s="1">
        <v>44671.527777777781</v>
      </c>
      <c r="D2209" s="1">
        <v>44672.15625</v>
      </c>
      <c r="E2209" s="17">
        <f>IF(Tablo2[[#This Row],[Başlangıç]]="","",(IF(Tablo2[[#This Row],[Bitiş]]="",($G$1-Tablo2[[#This Row],[Başlangıç]])*24,(Tablo2[[#This Row],[Bitiş]]-Tablo2[[#This Row],[Başlangıç]])*24)))</f>
        <v>15.083333333255723</v>
      </c>
    </row>
    <row r="2210" spans="1:5" x14ac:dyDescent="0.3">
      <c r="A2210">
        <v>631</v>
      </c>
      <c r="B2210" t="s">
        <v>36</v>
      </c>
      <c r="C2210" s="1">
        <v>44666.913194444445</v>
      </c>
      <c r="D2210" s="1">
        <v>44670.134027777778</v>
      </c>
      <c r="E2210" s="17">
        <f>IF(Tablo2[[#This Row],[Başlangıç]]="","",(IF(Tablo2[[#This Row],[Bitiş]]="",($G$1-Tablo2[[#This Row],[Başlangıç]])*24,(Tablo2[[#This Row],[Bitiş]]-Tablo2[[#This Row],[Başlangıç]])*24)))</f>
        <v>77.299999999988358</v>
      </c>
    </row>
    <row r="2211" spans="1:5" x14ac:dyDescent="0.3">
      <c r="A2211">
        <v>631</v>
      </c>
      <c r="B2211" t="s">
        <v>84</v>
      </c>
      <c r="C2211" s="1">
        <v>44669.40625</v>
      </c>
      <c r="D2211" s="1">
        <v>44670</v>
      </c>
      <c r="E2211" s="17">
        <f>IF(Tablo2[[#This Row],[Başlangıç]]="","",(IF(Tablo2[[#This Row],[Bitiş]]="",($G$1-Tablo2[[#This Row],[Başlangıç]])*24,(Tablo2[[#This Row],[Bitiş]]-Tablo2[[#This Row],[Başlangıç]])*24)))</f>
        <v>14.25</v>
      </c>
    </row>
    <row r="2212" spans="1:5" x14ac:dyDescent="0.3">
      <c r="A2212">
        <v>631</v>
      </c>
      <c r="B2212" t="s">
        <v>179</v>
      </c>
      <c r="C2212" s="1">
        <v>44666.795138888891</v>
      </c>
      <c r="D2212" s="1">
        <v>44666.815972222219</v>
      </c>
      <c r="E2212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213" spans="1:5" x14ac:dyDescent="0.3">
      <c r="A2213">
        <v>631</v>
      </c>
      <c r="B2213" t="s">
        <v>68</v>
      </c>
      <c r="C2213" s="1">
        <v>44670</v>
      </c>
      <c r="D2213" s="1">
        <v>44670.750694444447</v>
      </c>
      <c r="E2213" s="17">
        <f>IF(Tablo2[[#This Row],[Başlangıç]]="","",(IF(Tablo2[[#This Row],[Bitiş]]="",($G$1-Tablo2[[#This Row],[Başlangıç]])*24,(Tablo2[[#This Row],[Bitiş]]-Tablo2[[#This Row],[Başlangıç]])*24)))</f>
        <v>18.016666666720994</v>
      </c>
    </row>
    <row r="2214" spans="1:5" x14ac:dyDescent="0.3">
      <c r="A2214">
        <v>631</v>
      </c>
      <c r="B2214" t="s">
        <v>37</v>
      </c>
      <c r="C2214" s="1">
        <v>44667.347222222219</v>
      </c>
      <c r="D2214" s="1">
        <v>44670.323611111111</v>
      </c>
      <c r="E2214" s="17">
        <f>IF(Tablo2[[#This Row],[Başlangıç]]="","",(IF(Tablo2[[#This Row],[Bitiş]]="",($G$1-Tablo2[[#This Row],[Başlangıç]])*24,(Tablo2[[#This Row],[Bitiş]]-Tablo2[[#This Row],[Başlangıç]])*24)))</f>
        <v>71.433333333407063</v>
      </c>
    </row>
    <row r="2215" spans="1:5" x14ac:dyDescent="0.3">
      <c r="A2215">
        <v>631</v>
      </c>
      <c r="B2215" t="s">
        <v>65</v>
      </c>
      <c r="C2215" s="1">
        <v>44668.354166666664</v>
      </c>
      <c r="D2215" s="1">
        <v>44670</v>
      </c>
      <c r="E2215" s="17">
        <f>IF(Tablo2[[#This Row],[Başlangıç]]="","",(IF(Tablo2[[#This Row],[Bitiş]]="",($G$1-Tablo2[[#This Row],[Başlangıç]])*24,(Tablo2[[#This Row],[Bitiş]]-Tablo2[[#This Row],[Başlangıç]])*24)))</f>
        <v>39.500000000058208</v>
      </c>
    </row>
    <row r="2216" spans="1:5" x14ac:dyDescent="0.3">
      <c r="A2216">
        <v>632</v>
      </c>
      <c r="B2216" t="s">
        <v>36</v>
      </c>
      <c r="C2216" s="1">
        <v>44668.25</v>
      </c>
      <c r="D2216" s="1">
        <v>44670.184027777781</v>
      </c>
      <c r="E2216" s="17">
        <f>IF(Tablo2[[#This Row],[Başlangıç]]="","",(IF(Tablo2[[#This Row],[Bitiş]]="",($G$1-Tablo2[[#This Row],[Başlangıç]])*24,(Tablo2[[#This Row],[Bitiş]]-Tablo2[[#This Row],[Başlangıç]])*24)))</f>
        <v>46.416666666744277</v>
      </c>
    </row>
    <row r="2217" spans="1:5" x14ac:dyDescent="0.3">
      <c r="A2217">
        <v>632</v>
      </c>
      <c r="B2217" t="s">
        <v>84</v>
      </c>
      <c r="C2217" s="1"/>
      <c r="D2217" s="1"/>
      <c r="E2217" s="17" t="str">
        <f>IF(Tablo2[[#This Row],[Başlangıç]]="","",(IF(Tablo2[[#This Row],[Bitiş]]="",($G$1-Tablo2[[#This Row],[Başlangıç]])*24,(Tablo2[[#This Row],[Bitiş]]-Tablo2[[#This Row],[Başlangıç]])*24)))</f>
        <v/>
      </c>
    </row>
    <row r="2218" spans="1:5" x14ac:dyDescent="0.3">
      <c r="A2218">
        <v>632</v>
      </c>
      <c r="B2218" t="s">
        <v>179</v>
      </c>
      <c r="C2218" s="1">
        <v>44667.791666666664</v>
      </c>
      <c r="D2218" s="1">
        <v>44667.8125</v>
      </c>
      <c r="E221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19" spans="1:5" x14ac:dyDescent="0.3">
      <c r="A2219">
        <v>632</v>
      </c>
      <c r="B2219" t="s">
        <v>68</v>
      </c>
      <c r="C2219" s="1"/>
      <c r="D2219" s="1"/>
      <c r="E2219" s="17" t="str">
        <f>IF(Tablo2[[#This Row],[Başlangıç]]="","",(IF(Tablo2[[#This Row],[Bitiş]]="",($G$1-Tablo2[[#This Row],[Başlangıç]])*24,(Tablo2[[#This Row],[Bitiş]]-Tablo2[[#This Row],[Başlangıç]])*24)))</f>
        <v/>
      </c>
    </row>
    <row r="2220" spans="1:5" x14ac:dyDescent="0.3">
      <c r="A2220">
        <v>632</v>
      </c>
      <c r="B2220" t="s">
        <v>37</v>
      </c>
      <c r="C2220" s="1">
        <v>44669.059027777781</v>
      </c>
      <c r="D2220" s="1">
        <v>44672.375</v>
      </c>
      <c r="E2220" s="17">
        <f>IF(Tablo2[[#This Row],[Başlangıç]]="","",(IF(Tablo2[[#This Row],[Bitiş]]="",($G$1-Tablo2[[#This Row],[Başlangıç]])*24,(Tablo2[[#This Row],[Bitiş]]-Tablo2[[#This Row],[Başlangıç]])*24)))</f>
        <v>79.583333333255723</v>
      </c>
    </row>
    <row r="2221" spans="1:5" x14ac:dyDescent="0.3">
      <c r="A2221">
        <v>632</v>
      </c>
      <c r="B2221" t="s">
        <v>65</v>
      </c>
      <c r="C2221" s="1">
        <v>44672.010416666664</v>
      </c>
      <c r="D2221" s="1">
        <v>44672.260416666664</v>
      </c>
      <c r="E2221" s="17">
        <f>IF(Tablo2[[#This Row],[Başlangıç]]="","",(IF(Tablo2[[#This Row],[Bitiş]]="",($G$1-Tablo2[[#This Row],[Başlangıç]])*24,(Tablo2[[#This Row],[Bitiş]]-Tablo2[[#This Row],[Başlangıç]])*24)))</f>
        <v>6</v>
      </c>
    </row>
    <row r="2222" spans="1:5" x14ac:dyDescent="0.3">
      <c r="A2222">
        <v>633</v>
      </c>
      <c r="B2222" t="s">
        <v>36</v>
      </c>
      <c r="C2222" s="1">
        <v>44668.4375</v>
      </c>
      <c r="D2222" s="1">
        <v>44669.59375</v>
      </c>
      <c r="E2222" s="17">
        <f>IF(Tablo2[[#This Row],[Başlangıç]]="","",(IF(Tablo2[[#This Row],[Bitiş]]="",($G$1-Tablo2[[#This Row],[Başlangıç]])*24,(Tablo2[[#This Row],[Bitiş]]-Tablo2[[#This Row],[Başlangıç]])*24)))</f>
        <v>27.75</v>
      </c>
    </row>
    <row r="2223" spans="1:5" x14ac:dyDescent="0.3">
      <c r="A2223">
        <v>633</v>
      </c>
      <c r="B2223" t="s">
        <v>84</v>
      </c>
      <c r="C2223" s="1">
        <v>44670.895833333336</v>
      </c>
      <c r="D2223" s="1">
        <v>44671.458333333336</v>
      </c>
      <c r="E2223" s="17">
        <f>IF(Tablo2[[#This Row],[Başlangıç]]="","",(IF(Tablo2[[#This Row],[Bitiş]]="",($G$1-Tablo2[[#This Row],[Başlangıç]])*24,(Tablo2[[#This Row],[Bitiş]]-Tablo2[[#This Row],[Başlangıç]])*24)))</f>
        <v>13.5</v>
      </c>
    </row>
    <row r="2224" spans="1:5" x14ac:dyDescent="0.3">
      <c r="A2224">
        <v>633</v>
      </c>
      <c r="B2224" t="s">
        <v>179</v>
      </c>
      <c r="C2224" s="1">
        <v>44667.865277777775</v>
      </c>
      <c r="D2224" s="1">
        <v>44667.886111111111</v>
      </c>
      <c r="E222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25" spans="1:5" x14ac:dyDescent="0.3">
      <c r="A2225">
        <v>633</v>
      </c>
      <c r="B2225" t="s">
        <v>68</v>
      </c>
      <c r="C2225" s="1">
        <v>44671.243055555555</v>
      </c>
      <c r="D2225" s="1">
        <v>44672.5</v>
      </c>
      <c r="E2225" s="17">
        <f>IF(Tablo2[[#This Row],[Başlangıç]]="","",(IF(Tablo2[[#This Row],[Bitiş]]="",($G$1-Tablo2[[#This Row],[Başlangıç]])*24,(Tablo2[[#This Row],[Bitiş]]-Tablo2[[#This Row],[Başlangıç]])*24)))</f>
        <v>30.166666666686069</v>
      </c>
    </row>
    <row r="2226" spans="1:5" x14ac:dyDescent="0.3">
      <c r="A2226">
        <v>633</v>
      </c>
      <c r="B2226" t="s">
        <v>37</v>
      </c>
      <c r="C2226" s="1">
        <v>44668.125</v>
      </c>
      <c r="D2226" s="1">
        <v>44672</v>
      </c>
      <c r="E2226" s="17">
        <f>IF(Tablo2[[#This Row],[Başlangıç]]="","",(IF(Tablo2[[#This Row],[Bitiş]]="",($G$1-Tablo2[[#This Row],[Başlangıç]])*24,(Tablo2[[#This Row],[Bitiş]]-Tablo2[[#This Row],[Başlangıç]])*24)))</f>
        <v>93</v>
      </c>
    </row>
    <row r="2227" spans="1:5" x14ac:dyDescent="0.3">
      <c r="A2227">
        <v>633</v>
      </c>
      <c r="B2227" t="s">
        <v>65</v>
      </c>
      <c r="C2227" s="1">
        <v>44670.144444444442</v>
      </c>
      <c r="D2227" s="1">
        <v>44670.875</v>
      </c>
      <c r="E2227" s="17">
        <f>IF(Tablo2[[#This Row],[Başlangıç]]="","",(IF(Tablo2[[#This Row],[Bitiş]]="",($G$1-Tablo2[[#This Row],[Başlangıç]])*24,(Tablo2[[#This Row],[Bitiş]]-Tablo2[[#This Row],[Başlangıç]])*24)))</f>
        <v>17.53333333338378</v>
      </c>
    </row>
    <row r="2228" spans="1:5" x14ac:dyDescent="0.3">
      <c r="A2228">
        <v>634</v>
      </c>
      <c r="B2228" t="s">
        <v>36</v>
      </c>
      <c r="C2228" s="1">
        <v>44669.048611111109</v>
      </c>
      <c r="D2228" s="1">
        <v>44669.993055555555</v>
      </c>
      <c r="E2228" s="17">
        <f>IF(Tablo2[[#This Row],[Başlangıç]]="","",(IF(Tablo2[[#This Row],[Bitiş]]="",($G$1-Tablo2[[#This Row],[Başlangıç]])*24,(Tablo2[[#This Row],[Bitiş]]-Tablo2[[#This Row],[Başlangıç]])*24)))</f>
        <v>22.666666666686069</v>
      </c>
    </row>
    <row r="2229" spans="1:5" x14ac:dyDescent="0.3">
      <c r="A2229">
        <v>634</v>
      </c>
      <c r="B2229" t="s">
        <v>84</v>
      </c>
      <c r="C2229" s="1">
        <v>44671.854166666664</v>
      </c>
      <c r="D2229" s="1"/>
      <c r="E2229" s="17">
        <f ca="1">IF(Tablo2[[#This Row],[Başlangıç]]="","",(IF(Tablo2[[#This Row],[Bitiş]]="",($G$1-Tablo2[[#This Row],[Başlangıç]])*24,(Tablo2[[#This Row],[Bitiş]]-Tablo2[[#This Row],[Başlangıç]])*24)))</f>
        <v>99.500000000058208</v>
      </c>
    </row>
    <row r="2230" spans="1:5" x14ac:dyDescent="0.3">
      <c r="A2230">
        <v>634</v>
      </c>
      <c r="B2230" t="s">
        <v>179</v>
      </c>
      <c r="C2230" s="1">
        <v>44668.085416666669</v>
      </c>
      <c r="D2230" s="1">
        <v>44668.106249999997</v>
      </c>
      <c r="E2230" s="17">
        <f>IF(Tablo2[[#This Row],[Başlangıç]]="","",(IF(Tablo2[[#This Row],[Bitiş]]="",($G$1-Tablo2[[#This Row],[Başlangıç]])*24,(Tablo2[[#This Row],[Bitiş]]-Tablo2[[#This Row],[Başlangıç]])*24)))</f>
        <v>0.49999999988358468</v>
      </c>
    </row>
    <row r="2231" spans="1:5" x14ac:dyDescent="0.3">
      <c r="A2231">
        <v>634</v>
      </c>
      <c r="B2231" t="s">
        <v>68</v>
      </c>
      <c r="C2231" s="1">
        <v>44672.0625</v>
      </c>
      <c r="D2231" s="1"/>
      <c r="E2231" s="17">
        <f ca="1">IF(Tablo2[[#This Row],[Başlangıç]]="","",(IF(Tablo2[[#This Row],[Bitiş]]="",($G$1-Tablo2[[#This Row],[Başlangıç]])*24,(Tablo2[[#This Row],[Bitiş]]-Tablo2[[#This Row],[Başlangıç]])*24)))</f>
        <v>94.5</v>
      </c>
    </row>
    <row r="2232" spans="1:5" x14ac:dyDescent="0.3">
      <c r="A2232">
        <v>634</v>
      </c>
      <c r="B2232" t="s">
        <v>37</v>
      </c>
      <c r="C2232" s="1">
        <v>44668.041666666664</v>
      </c>
      <c r="D2232" s="1">
        <v>44671.781944444447</v>
      </c>
      <c r="E2232" s="17">
        <f>IF(Tablo2[[#This Row],[Başlangıç]]="","",(IF(Tablo2[[#This Row],[Bitiş]]="",($G$1-Tablo2[[#This Row],[Başlangıç]])*24,(Tablo2[[#This Row],[Bitiş]]-Tablo2[[#This Row],[Başlangıç]])*24)))</f>
        <v>89.766666666779201</v>
      </c>
    </row>
    <row r="2233" spans="1:5" x14ac:dyDescent="0.3">
      <c r="A2233">
        <v>634</v>
      </c>
      <c r="B2233" t="s">
        <v>65</v>
      </c>
      <c r="C2233" s="1">
        <v>44671.024305555555</v>
      </c>
      <c r="D2233" s="1">
        <v>44671.881944444445</v>
      </c>
      <c r="E2233" s="17">
        <f>IF(Tablo2[[#This Row],[Başlangıç]]="","",(IF(Tablo2[[#This Row],[Bitiş]]="",($G$1-Tablo2[[#This Row],[Başlangıç]])*24,(Tablo2[[#This Row],[Bitiş]]-Tablo2[[#This Row],[Başlangıç]])*24)))</f>
        <v>20.583333333372138</v>
      </c>
    </row>
    <row r="2234" spans="1:5" x14ac:dyDescent="0.3">
      <c r="A2234">
        <v>635</v>
      </c>
      <c r="B2234" t="s">
        <v>36</v>
      </c>
      <c r="C2234" s="1">
        <v>44669.364583333336</v>
      </c>
      <c r="D2234" s="1">
        <v>44670.423611111109</v>
      </c>
      <c r="E2234" s="17">
        <f>IF(Tablo2[[#This Row],[Başlangıç]]="","",(IF(Tablo2[[#This Row],[Bitiş]]="",($G$1-Tablo2[[#This Row],[Başlangıç]])*24,(Tablo2[[#This Row],[Bitiş]]-Tablo2[[#This Row],[Başlangıç]])*24)))</f>
        <v>25.416666666569654</v>
      </c>
    </row>
    <row r="2235" spans="1:5" x14ac:dyDescent="0.3">
      <c r="A2235">
        <v>635</v>
      </c>
      <c r="B2235" t="s">
        <v>84</v>
      </c>
      <c r="C2235" s="1"/>
      <c r="D2235" s="1"/>
      <c r="E2235" s="17" t="str">
        <f>IF(Tablo2[[#This Row],[Başlangıç]]="","",(IF(Tablo2[[#This Row],[Bitiş]]="",($G$1-Tablo2[[#This Row],[Başlangıç]])*24,(Tablo2[[#This Row],[Bitiş]]-Tablo2[[#This Row],[Başlangıç]])*24)))</f>
        <v/>
      </c>
    </row>
    <row r="2236" spans="1:5" x14ac:dyDescent="0.3">
      <c r="A2236">
        <v>635</v>
      </c>
      <c r="B2236" t="s">
        <v>179</v>
      </c>
      <c r="C2236" s="1">
        <v>44669</v>
      </c>
      <c r="D2236" s="1">
        <v>44669.020833333336</v>
      </c>
      <c r="E2236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37" spans="1:5" x14ac:dyDescent="0.3">
      <c r="A2237">
        <v>635</v>
      </c>
      <c r="B2237" t="s">
        <v>68</v>
      </c>
      <c r="C2237" s="1"/>
      <c r="D2237" s="1"/>
      <c r="E2237" s="17" t="str">
        <f>IF(Tablo2[[#This Row],[Başlangıç]]="","",(IF(Tablo2[[#This Row],[Bitiş]]="",($G$1-Tablo2[[#This Row],[Başlangıç]])*24,(Tablo2[[#This Row],[Bitiş]]-Tablo2[[#This Row],[Başlangıç]])*24)))</f>
        <v/>
      </c>
    </row>
    <row r="2238" spans="1:5" x14ac:dyDescent="0.3">
      <c r="A2238">
        <v>635</v>
      </c>
      <c r="B2238" t="s">
        <v>37</v>
      </c>
      <c r="C2238" s="1">
        <v>44670.861111111109</v>
      </c>
      <c r="D2238" s="1">
        <v>44671.420138888891</v>
      </c>
      <c r="E2238" s="17">
        <f>IF(Tablo2[[#This Row],[Başlangıç]]="","",(IF(Tablo2[[#This Row],[Bitiş]]="",($G$1-Tablo2[[#This Row],[Başlangıç]])*24,(Tablo2[[#This Row],[Bitiş]]-Tablo2[[#This Row],[Başlangıç]])*24)))</f>
        <v>13.416666666744277</v>
      </c>
    </row>
    <row r="2239" spans="1:5" x14ac:dyDescent="0.3">
      <c r="A2239">
        <v>635</v>
      </c>
      <c r="B2239" t="s">
        <v>65</v>
      </c>
      <c r="C2239" s="1"/>
      <c r="D2239" s="1"/>
      <c r="E2239" s="17" t="str">
        <f>IF(Tablo2[[#This Row],[Başlangıç]]="","",(IF(Tablo2[[#This Row],[Bitiş]]="",($G$1-Tablo2[[#This Row],[Başlangıç]])*24,(Tablo2[[#This Row],[Bitiş]]-Tablo2[[#This Row],[Başlangıç]])*24)))</f>
        <v/>
      </c>
    </row>
    <row r="2240" spans="1:5" x14ac:dyDescent="0.3">
      <c r="A2240">
        <v>636</v>
      </c>
      <c r="B2240" t="s">
        <v>36</v>
      </c>
      <c r="C2240" s="1">
        <v>44670.850694444445</v>
      </c>
      <c r="D2240" s="1">
        <v>44671.173611111109</v>
      </c>
      <c r="E2240" s="17">
        <f>IF(Tablo2[[#This Row],[Başlangıç]]="","",(IF(Tablo2[[#This Row],[Bitiş]]="",($G$1-Tablo2[[#This Row],[Başlangıç]])*24,(Tablo2[[#This Row],[Bitiş]]-Tablo2[[#This Row],[Başlangıç]])*24)))</f>
        <v>7.7499999999417923</v>
      </c>
    </row>
    <row r="2241" spans="1:5" x14ac:dyDescent="0.3">
      <c r="A2241">
        <v>636</v>
      </c>
      <c r="B2241" t="s">
        <v>84</v>
      </c>
      <c r="C2241" s="1"/>
      <c r="D2241" s="1"/>
      <c r="E2241" s="17" t="str">
        <f>IF(Tablo2[[#This Row],[Başlangıç]]="","",(IF(Tablo2[[#This Row],[Bitiş]]="",($G$1-Tablo2[[#This Row],[Başlangıç]])*24,(Tablo2[[#This Row],[Bitiş]]-Tablo2[[#This Row],[Başlangıç]])*24)))</f>
        <v/>
      </c>
    </row>
    <row r="2242" spans="1:5" x14ac:dyDescent="0.3">
      <c r="A2242">
        <v>636</v>
      </c>
      <c r="B2242" t="s">
        <v>179</v>
      </c>
      <c r="C2242" s="1">
        <v>44670</v>
      </c>
      <c r="D2242" s="1">
        <v>44670.020833333336</v>
      </c>
      <c r="E2242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43" spans="1:5" x14ac:dyDescent="0.3">
      <c r="A2243">
        <v>636</v>
      </c>
      <c r="B2243" t="s">
        <v>68</v>
      </c>
      <c r="C2243" s="1"/>
      <c r="D2243" s="1"/>
      <c r="E2243" s="17" t="str">
        <f>IF(Tablo2[[#This Row],[Başlangıç]]="","",(IF(Tablo2[[#This Row],[Bitiş]]="",($G$1-Tablo2[[#This Row],[Başlangıç]])*24,(Tablo2[[#This Row],[Bitiş]]-Tablo2[[#This Row],[Başlangıç]])*24)))</f>
        <v/>
      </c>
    </row>
    <row r="2244" spans="1:5" x14ac:dyDescent="0.3">
      <c r="A2244">
        <v>636</v>
      </c>
      <c r="B2244" t="s">
        <v>37</v>
      </c>
      <c r="C2244" s="1">
        <v>44671.25</v>
      </c>
      <c r="D2244" s="1">
        <v>44671.305555555555</v>
      </c>
      <c r="E2244" s="17">
        <f>IF(Tablo2[[#This Row],[Başlangıç]]="","",(IF(Tablo2[[#This Row],[Bitiş]]="",($G$1-Tablo2[[#This Row],[Başlangıç]])*24,(Tablo2[[#This Row],[Bitiş]]-Tablo2[[#This Row],[Başlangıç]])*24)))</f>
        <v>1.3333333333139308</v>
      </c>
    </row>
    <row r="2245" spans="1:5" x14ac:dyDescent="0.3">
      <c r="A2245">
        <v>636</v>
      </c>
      <c r="B2245" t="s">
        <v>65</v>
      </c>
      <c r="C2245" s="1"/>
      <c r="D2245" s="1"/>
      <c r="E2245" s="17" t="str">
        <f>IF(Tablo2[[#This Row],[Başlangıç]]="","",(IF(Tablo2[[#This Row],[Bitiş]]="",($G$1-Tablo2[[#This Row],[Başlangıç]])*24,(Tablo2[[#This Row],[Bitiş]]-Tablo2[[#This Row],[Başlangıç]])*24)))</f>
        <v/>
      </c>
    </row>
    <row r="2246" spans="1:5" x14ac:dyDescent="0.3">
      <c r="A2246">
        <v>637</v>
      </c>
      <c r="B2246" t="s">
        <v>36</v>
      </c>
      <c r="C2246" s="1">
        <v>44670.927083333336</v>
      </c>
      <c r="D2246" s="1">
        <v>44671.555555555555</v>
      </c>
      <c r="E2246" s="17">
        <f>IF(Tablo2[[#This Row],[Başlangıç]]="","",(IF(Tablo2[[#This Row],[Bitiş]]="",($G$1-Tablo2[[#This Row],[Başlangıç]])*24,(Tablo2[[#This Row],[Bitiş]]-Tablo2[[#This Row],[Başlangıç]])*24)))</f>
        <v>15.083333333255723</v>
      </c>
    </row>
    <row r="2247" spans="1:5" x14ac:dyDescent="0.3">
      <c r="A2247">
        <v>637</v>
      </c>
      <c r="B2247" t="s">
        <v>84</v>
      </c>
      <c r="C2247" s="1"/>
      <c r="D2247" s="1"/>
      <c r="E2247" s="17" t="str">
        <f>IF(Tablo2[[#This Row],[Başlangıç]]="","",(IF(Tablo2[[#This Row],[Bitiş]]="",($G$1-Tablo2[[#This Row],[Başlangıç]])*24,(Tablo2[[#This Row],[Bitiş]]-Tablo2[[#This Row],[Başlangıç]])*24)))</f>
        <v/>
      </c>
    </row>
    <row r="2248" spans="1:5" x14ac:dyDescent="0.3">
      <c r="A2248">
        <v>637</v>
      </c>
      <c r="B2248" t="s">
        <v>179</v>
      </c>
      <c r="C2248" s="1">
        <v>44670</v>
      </c>
      <c r="D2248" s="1">
        <v>44670.020833333336</v>
      </c>
      <c r="E2248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49" spans="1:5" x14ac:dyDescent="0.3">
      <c r="A2249">
        <v>637</v>
      </c>
      <c r="B2249" t="s">
        <v>68</v>
      </c>
      <c r="C2249" s="1"/>
      <c r="D2249" s="1"/>
      <c r="E2249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0" spans="1:5" x14ac:dyDescent="0.3">
      <c r="A2250">
        <v>637</v>
      </c>
      <c r="B2250" t="s">
        <v>37</v>
      </c>
      <c r="C2250" s="1">
        <v>44671.805555555555</v>
      </c>
      <c r="D2250" s="1">
        <v>44672.166666666664</v>
      </c>
      <c r="E2250" s="17">
        <f>IF(Tablo2[[#This Row],[Başlangıç]]="","",(IF(Tablo2[[#This Row],[Bitiş]]="",($G$1-Tablo2[[#This Row],[Başlangıç]])*24,(Tablo2[[#This Row],[Bitiş]]-Tablo2[[#This Row],[Başlangıç]])*24)))</f>
        <v>8.6666666666278616</v>
      </c>
    </row>
    <row r="2251" spans="1:5" x14ac:dyDescent="0.3">
      <c r="A2251">
        <v>637</v>
      </c>
      <c r="B2251" t="s">
        <v>65</v>
      </c>
      <c r="C2251" s="1"/>
      <c r="D2251" s="1"/>
      <c r="E2251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2" spans="1:5" x14ac:dyDescent="0.3">
      <c r="A2252">
        <v>638</v>
      </c>
      <c r="B2252" t="s">
        <v>36</v>
      </c>
      <c r="C2252" s="1">
        <v>44671.510416666664</v>
      </c>
      <c r="D2252" s="1">
        <v>44672.222222222219</v>
      </c>
      <c r="E2252" s="17">
        <f>IF(Tablo2[[#This Row],[Başlangıç]]="","",(IF(Tablo2[[#This Row],[Bitiş]]="",($G$1-Tablo2[[#This Row],[Başlangıç]])*24,(Tablo2[[#This Row],[Bitiş]]-Tablo2[[#This Row],[Başlangıç]])*24)))</f>
        <v>17.083333333313931</v>
      </c>
    </row>
    <row r="2253" spans="1:5" x14ac:dyDescent="0.3">
      <c r="A2253">
        <v>638</v>
      </c>
      <c r="B2253" t="s">
        <v>84</v>
      </c>
      <c r="C2253" s="1"/>
      <c r="D2253" s="1"/>
      <c r="E2253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4" spans="1:5" x14ac:dyDescent="0.3">
      <c r="A2254">
        <v>638</v>
      </c>
      <c r="B2254" t="s">
        <v>179</v>
      </c>
      <c r="C2254" s="1">
        <v>44671</v>
      </c>
      <c r="D2254" s="1">
        <v>44671.020833333336</v>
      </c>
      <c r="E2254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55" spans="1:5" x14ac:dyDescent="0.3">
      <c r="A2255">
        <v>638</v>
      </c>
      <c r="B2255" t="s">
        <v>68</v>
      </c>
      <c r="C2255" s="1"/>
      <c r="D2255" s="1"/>
      <c r="E2255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6" spans="1:5" x14ac:dyDescent="0.3">
      <c r="A2256">
        <v>638</v>
      </c>
      <c r="B2256" t="s">
        <v>37</v>
      </c>
      <c r="C2256" s="1"/>
      <c r="D2256" s="1"/>
      <c r="E2256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7" spans="1:5" x14ac:dyDescent="0.3">
      <c r="A2257">
        <v>638</v>
      </c>
      <c r="B2257" t="s">
        <v>65</v>
      </c>
      <c r="C2257" s="1"/>
      <c r="D2257" s="1"/>
      <c r="E2257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8" spans="1:5" x14ac:dyDescent="0.3">
      <c r="A2258">
        <v>642</v>
      </c>
      <c r="B2258" t="s">
        <v>36</v>
      </c>
      <c r="C2258" s="1"/>
      <c r="D2258" s="1"/>
      <c r="E2258" s="17" t="str">
        <f>IF(Tablo2[[#This Row],[Başlangıç]]="","",(IF(Tablo2[[#This Row],[Bitiş]]="",($G$1-Tablo2[[#This Row],[Başlangıç]])*24,(Tablo2[[#This Row],[Bitiş]]-Tablo2[[#This Row],[Başlangıç]])*24)))</f>
        <v/>
      </c>
    </row>
    <row r="2259" spans="1:5" x14ac:dyDescent="0.3">
      <c r="A2259">
        <v>642</v>
      </c>
      <c r="B2259" t="s">
        <v>84</v>
      </c>
      <c r="C2259" s="1"/>
      <c r="D2259" s="1"/>
      <c r="E2259" s="17" t="str">
        <f>IF(Tablo2[[#This Row],[Başlangıç]]="","",(IF(Tablo2[[#This Row],[Bitiş]]="",($G$1-Tablo2[[#This Row],[Başlangıç]])*24,(Tablo2[[#This Row],[Bitiş]]-Tablo2[[#This Row],[Başlangıç]])*24)))</f>
        <v/>
      </c>
    </row>
    <row r="2260" spans="1:5" x14ac:dyDescent="0.3">
      <c r="A2260">
        <v>642</v>
      </c>
      <c r="B2260" t="s">
        <v>179</v>
      </c>
      <c r="C2260" s="1">
        <v>44671</v>
      </c>
      <c r="D2260" s="1">
        <v>44671.020833333336</v>
      </c>
      <c r="E2260" s="17">
        <f>IF(Tablo2[[#This Row],[Başlangıç]]="","",(IF(Tablo2[[#This Row],[Bitiş]]="",($G$1-Tablo2[[#This Row],[Başlangıç]])*24,(Tablo2[[#This Row],[Bitiş]]-Tablo2[[#This Row],[Başlangıç]])*24)))</f>
        <v>0.50000000005820766</v>
      </c>
    </row>
    <row r="2261" spans="1:5" x14ac:dyDescent="0.3">
      <c r="A2261">
        <v>642</v>
      </c>
      <c r="B2261" t="s">
        <v>68</v>
      </c>
      <c r="C2261" s="1"/>
      <c r="D2261" s="1"/>
      <c r="E2261" s="17" t="str">
        <f>IF(Tablo2[[#This Row],[Başlangıç]]="","",(IF(Tablo2[[#This Row],[Bitiş]]="",($G$1-Tablo2[[#This Row],[Başlangıç]])*24,(Tablo2[[#This Row],[Bitiş]]-Tablo2[[#This Row],[Başlangıç]])*24)))</f>
        <v/>
      </c>
    </row>
    <row r="2262" spans="1:5" x14ac:dyDescent="0.3">
      <c r="A2262">
        <v>642</v>
      </c>
      <c r="B2262" t="s">
        <v>37</v>
      </c>
      <c r="C2262" s="1">
        <v>44671.59375</v>
      </c>
      <c r="D2262" s="1">
        <v>44671.642361111109</v>
      </c>
      <c r="E2262" s="17">
        <f>IF(Tablo2[[#This Row],[Başlangıç]]="","",(IF(Tablo2[[#This Row],[Bitiş]]="",($G$1-Tablo2[[#This Row],[Başlangıç]])*24,(Tablo2[[#This Row],[Bitiş]]-Tablo2[[#This Row],[Başlangıç]])*24)))</f>
        <v>1.1666666666278616</v>
      </c>
    </row>
    <row r="2263" spans="1:5" x14ac:dyDescent="0.3">
      <c r="A2263">
        <v>642</v>
      </c>
      <c r="B2263" t="s">
        <v>65</v>
      </c>
      <c r="C2263" s="1"/>
      <c r="D2263" s="1"/>
      <c r="E2263" s="17" t="str">
        <f>IF(Tablo2[[#This Row],[Başlangıç]]="","",(IF(Tablo2[[#This Row],[Bitiş]]="",($G$1-Tablo2[[#This Row],[Başlangıç]])*24,(Tablo2[[#This Row],[Bitiş]]-Tablo2[[#This Row],[Başlangıç]])*24)))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9B4A8-EA1C-4066-9568-52F58784845D}">
  <sheetPr codeName="Sayfa1"/>
  <dimension ref="A1:E2321"/>
  <sheetViews>
    <sheetView topLeftCell="A1438" workbookViewId="0">
      <selection activeCell="E1298" sqref="E1298"/>
    </sheetView>
  </sheetViews>
  <sheetFormatPr defaultRowHeight="14.4" x14ac:dyDescent="0.3"/>
  <cols>
    <col min="1" max="1" width="8.109375" bestFit="1" customWidth="1"/>
    <col min="2" max="2" width="12.88671875" bestFit="1" customWidth="1"/>
    <col min="3" max="3" width="13.21875" bestFit="1" customWidth="1"/>
    <col min="4" max="4" width="10.44140625" bestFit="1" customWidth="1"/>
    <col min="5" max="5" width="105.6640625" bestFit="1" customWidth="1"/>
  </cols>
  <sheetData>
    <row r="1" spans="1:5" x14ac:dyDescent="0.3">
      <c r="A1" t="s">
        <v>46</v>
      </c>
      <c r="B1" t="s">
        <v>47</v>
      </c>
      <c r="C1" t="s">
        <v>48</v>
      </c>
      <c r="D1" t="s">
        <v>50</v>
      </c>
      <c r="E1" t="s">
        <v>49</v>
      </c>
    </row>
    <row r="2" spans="1:5" x14ac:dyDescent="0.3">
      <c r="A2">
        <v>194</v>
      </c>
      <c r="B2" t="s">
        <v>11</v>
      </c>
      <c r="C2" s="1" t="s">
        <v>37</v>
      </c>
      <c r="D2" s="1">
        <v>32</v>
      </c>
      <c r="E2" t="s">
        <v>59</v>
      </c>
    </row>
    <row r="3" spans="1:5" x14ac:dyDescent="0.3">
      <c r="A3">
        <v>194</v>
      </c>
      <c r="B3" t="s">
        <v>11</v>
      </c>
      <c r="C3" t="s">
        <v>37</v>
      </c>
      <c r="D3">
        <v>32</v>
      </c>
      <c r="E3" t="s">
        <v>59</v>
      </c>
    </row>
    <row r="4" spans="1:5" x14ac:dyDescent="0.3">
      <c r="A4">
        <v>196</v>
      </c>
      <c r="B4" t="s">
        <v>31</v>
      </c>
      <c r="C4" t="s">
        <v>68</v>
      </c>
      <c r="D4">
        <v>1</v>
      </c>
      <c r="E4" t="s">
        <v>70</v>
      </c>
    </row>
    <row r="5" spans="1:5" x14ac:dyDescent="0.3">
      <c r="A5">
        <v>196</v>
      </c>
      <c r="B5" t="s">
        <v>32</v>
      </c>
      <c r="C5" t="s">
        <v>68</v>
      </c>
      <c r="D5">
        <v>1</v>
      </c>
      <c r="E5" t="s">
        <v>69</v>
      </c>
    </row>
    <row r="6" spans="1:5" x14ac:dyDescent="0.3">
      <c r="A6">
        <v>196</v>
      </c>
      <c r="B6" t="s">
        <v>33</v>
      </c>
      <c r="C6" t="s">
        <v>68</v>
      </c>
      <c r="D6">
        <v>2</v>
      </c>
      <c r="E6" t="s">
        <v>82</v>
      </c>
    </row>
    <row r="7" spans="1:5" x14ac:dyDescent="0.3">
      <c r="A7">
        <v>196</v>
      </c>
      <c r="B7" t="s">
        <v>34</v>
      </c>
      <c r="C7" t="s">
        <v>68</v>
      </c>
      <c r="D7">
        <v>1</v>
      </c>
      <c r="E7" t="s">
        <v>114</v>
      </c>
    </row>
    <row r="8" spans="1:5" x14ac:dyDescent="0.3">
      <c r="A8">
        <v>196</v>
      </c>
      <c r="B8" t="s">
        <v>35</v>
      </c>
      <c r="C8" t="s">
        <v>68</v>
      </c>
      <c r="D8">
        <v>2</v>
      </c>
      <c r="E8" t="s">
        <v>114</v>
      </c>
    </row>
    <row r="9" spans="1:5" x14ac:dyDescent="0.3">
      <c r="A9">
        <v>196</v>
      </c>
      <c r="B9" t="s">
        <v>38</v>
      </c>
      <c r="C9" t="s">
        <v>68</v>
      </c>
      <c r="D9">
        <v>1</v>
      </c>
      <c r="E9" t="s">
        <v>69</v>
      </c>
    </row>
    <row r="10" spans="1:5" x14ac:dyDescent="0.3">
      <c r="A10">
        <v>196</v>
      </c>
      <c r="B10" t="s">
        <v>30</v>
      </c>
      <c r="C10" t="s">
        <v>68</v>
      </c>
      <c r="D10">
        <v>4</v>
      </c>
      <c r="E10" t="s">
        <v>81</v>
      </c>
    </row>
    <row r="11" spans="1:5" x14ac:dyDescent="0.3">
      <c r="A11">
        <v>196</v>
      </c>
      <c r="B11" t="s">
        <v>76</v>
      </c>
      <c r="C11" t="s">
        <v>68</v>
      </c>
      <c r="D11">
        <v>0</v>
      </c>
      <c r="E11" t="s">
        <v>83</v>
      </c>
    </row>
    <row r="12" spans="1:5" x14ac:dyDescent="0.3">
      <c r="A12">
        <v>197</v>
      </c>
      <c r="B12" t="s">
        <v>34</v>
      </c>
      <c r="C12" t="s">
        <v>68</v>
      </c>
      <c r="D12">
        <v>0</v>
      </c>
      <c r="E12" t="s">
        <v>81</v>
      </c>
    </row>
    <row r="13" spans="1:5" x14ac:dyDescent="0.3">
      <c r="A13">
        <v>197</v>
      </c>
      <c r="B13" t="s">
        <v>20</v>
      </c>
      <c r="C13" t="s">
        <v>65</v>
      </c>
      <c r="D13">
        <v>3</v>
      </c>
      <c r="E13" t="s">
        <v>69</v>
      </c>
    </row>
    <row r="14" spans="1:5" x14ac:dyDescent="0.3">
      <c r="A14">
        <v>197</v>
      </c>
      <c r="B14" t="s">
        <v>29</v>
      </c>
      <c r="C14" t="s">
        <v>68</v>
      </c>
      <c r="D14">
        <v>0</v>
      </c>
      <c r="E14" t="s">
        <v>89</v>
      </c>
    </row>
    <row r="15" spans="1:5" x14ac:dyDescent="0.3">
      <c r="A15">
        <v>197</v>
      </c>
      <c r="B15" t="s">
        <v>38</v>
      </c>
      <c r="C15" t="s">
        <v>68</v>
      </c>
      <c r="D15">
        <v>8</v>
      </c>
      <c r="E15" t="s">
        <v>122</v>
      </c>
    </row>
    <row r="16" spans="1:5" x14ac:dyDescent="0.3">
      <c r="A16">
        <v>197</v>
      </c>
      <c r="B16" t="s">
        <v>35</v>
      </c>
      <c r="C16" t="s">
        <v>68</v>
      </c>
      <c r="D16">
        <v>3</v>
      </c>
      <c r="E16" t="s">
        <v>69</v>
      </c>
    </row>
    <row r="17" spans="1:5" x14ac:dyDescent="0.3">
      <c r="A17">
        <v>197</v>
      </c>
      <c r="B17" t="s">
        <v>33</v>
      </c>
      <c r="C17" t="s">
        <v>68</v>
      </c>
      <c r="D17">
        <v>25</v>
      </c>
      <c r="E17" t="s">
        <v>81</v>
      </c>
    </row>
    <row r="18" spans="1:5" x14ac:dyDescent="0.3">
      <c r="A18">
        <v>197</v>
      </c>
      <c r="B18" t="s">
        <v>32</v>
      </c>
      <c r="C18" t="s">
        <v>68</v>
      </c>
      <c r="D18">
        <v>1</v>
      </c>
      <c r="E18" t="s">
        <v>81</v>
      </c>
    </row>
    <row r="19" spans="1:5" x14ac:dyDescent="0.3">
      <c r="A19">
        <v>197</v>
      </c>
      <c r="B19" t="s">
        <v>80</v>
      </c>
      <c r="C19" t="s">
        <v>68</v>
      </c>
      <c r="D19">
        <v>1</v>
      </c>
      <c r="E19" t="s">
        <v>81</v>
      </c>
    </row>
    <row r="20" spans="1:5" x14ac:dyDescent="0.3">
      <c r="A20">
        <v>197</v>
      </c>
      <c r="B20" t="s">
        <v>28</v>
      </c>
      <c r="C20" t="s">
        <v>68</v>
      </c>
      <c r="D20">
        <v>1</v>
      </c>
      <c r="E20" t="s">
        <v>87</v>
      </c>
    </row>
    <row r="21" spans="1:5" x14ac:dyDescent="0.3">
      <c r="A21">
        <v>197</v>
      </c>
      <c r="B21" t="s">
        <v>30</v>
      </c>
      <c r="C21" t="s">
        <v>68</v>
      </c>
      <c r="D21">
        <v>1</v>
      </c>
      <c r="E21" t="s">
        <v>90</v>
      </c>
    </row>
    <row r="22" spans="1:5" x14ac:dyDescent="0.3">
      <c r="A22">
        <v>197</v>
      </c>
      <c r="B22" t="s">
        <v>31</v>
      </c>
      <c r="C22" t="s">
        <v>68</v>
      </c>
      <c r="D22">
        <v>2</v>
      </c>
      <c r="E22" t="s">
        <v>91</v>
      </c>
    </row>
    <row r="23" spans="1:5" x14ac:dyDescent="0.3">
      <c r="A23">
        <v>197</v>
      </c>
      <c r="B23" t="s">
        <v>24</v>
      </c>
      <c r="C23" t="s">
        <v>84</v>
      </c>
      <c r="D23">
        <v>2</v>
      </c>
      <c r="E23" t="s">
        <v>81</v>
      </c>
    </row>
    <row r="24" spans="1:5" x14ac:dyDescent="0.3">
      <c r="A24">
        <v>197</v>
      </c>
      <c r="B24" t="s">
        <v>26</v>
      </c>
      <c r="C24" t="s">
        <v>84</v>
      </c>
      <c r="D24">
        <v>0</v>
      </c>
      <c r="E24" t="s">
        <v>81</v>
      </c>
    </row>
    <row r="25" spans="1:5" x14ac:dyDescent="0.3">
      <c r="A25">
        <v>219</v>
      </c>
      <c r="B25" t="s">
        <v>14</v>
      </c>
      <c r="C25" t="s">
        <v>37</v>
      </c>
      <c r="D25">
        <v>1</v>
      </c>
      <c r="E25" t="s">
        <v>137</v>
      </c>
    </row>
    <row r="26" spans="1:5" x14ac:dyDescent="0.3">
      <c r="A26">
        <v>219</v>
      </c>
      <c r="B26" t="s">
        <v>12</v>
      </c>
      <c r="C26" t="s">
        <v>37</v>
      </c>
      <c r="D26">
        <v>6</v>
      </c>
      <c r="E26" t="s">
        <v>207</v>
      </c>
    </row>
    <row r="27" spans="1:5" x14ac:dyDescent="0.3">
      <c r="A27">
        <v>219</v>
      </c>
      <c r="B27" t="s">
        <v>21</v>
      </c>
      <c r="C27" t="s">
        <v>65</v>
      </c>
      <c r="D27">
        <v>4</v>
      </c>
      <c r="E27" t="s">
        <v>103</v>
      </c>
    </row>
    <row r="28" spans="1:5" x14ac:dyDescent="0.3">
      <c r="A28">
        <v>219</v>
      </c>
      <c r="B28" t="s">
        <v>19</v>
      </c>
      <c r="C28" t="s">
        <v>65</v>
      </c>
      <c r="D28">
        <v>4</v>
      </c>
      <c r="E28" t="s">
        <v>103</v>
      </c>
    </row>
    <row r="29" spans="1:5" x14ac:dyDescent="0.3">
      <c r="A29">
        <v>219</v>
      </c>
      <c r="B29" t="s">
        <v>18</v>
      </c>
      <c r="C29" t="s">
        <v>37</v>
      </c>
      <c r="D29">
        <v>0</v>
      </c>
      <c r="E29" t="s">
        <v>137</v>
      </c>
    </row>
    <row r="30" spans="1:5" x14ac:dyDescent="0.3">
      <c r="A30">
        <v>219</v>
      </c>
      <c r="B30" t="s">
        <v>17</v>
      </c>
      <c r="C30" t="s">
        <v>37</v>
      </c>
      <c r="D30">
        <v>1</v>
      </c>
      <c r="E30" t="s">
        <v>137</v>
      </c>
    </row>
    <row r="31" spans="1:5" x14ac:dyDescent="0.3">
      <c r="A31">
        <v>219</v>
      </c>
      <c r="B31" t="s">
        <v>23</v>
      </c>
      <c r="C31" t="s">
        <v>65</v>
      </c>
      <c r="D31">
        <v>6</v>
      </c>
      <c r="E31" t="s">
        <v>81</v>
      </c>
    </row>
    <row r="32" spans="1:5" x14ac:dyDescent="0.3">
      <c r="A32">
        <v>219</v>
      </c>
      <c r="B32" t="s">
        <v>15</v>
      </c>
      <c r="C32" t="s">
        <v>37</v>
      </c>
      <c r="D32">
        <v>1</v>
      </c>
      <c r="E32" t="s">
        <v>95</v>
      </c>
    </row>
    <row r="33" spans="1:5" x14ac:dyDescent="0.3">
      <c r="A33">
        <v>219</v>
      </c>
      <c r="B33" t="s">
        <v>22</v>
      </c>
      <c r="C33" t="s">
        <v>65</v>
      </c>
      <c r="D33">
        <v>2</v>
      </c>
      <c r="E33" t="s">
        <v>103</v>
      </c>
    </row>
    <row r="34" spans="1:5" x14ac:dyDescent="0.3">
      <c r="A34">
        <v>219</v>
      </c>
      <c r="B34" t="s">
        <v>74</v>
      </c>
      <c r="C34" t="s">
        <v>65</v>
      </c>
      <c r="D34">
        <v>4</v>
      </c>
      <c r="E34" t="s">
        <v>240</v>
      </c>
    </row>
    <row r="35" spans="1:5" x14ac:dyDescent="0.3">
      <c r="A35">
        <v>219</v>
      </c>
      <c r="B35" t="s">
        <v>16</v>
      </c>
      <c r="C35" t="s">
        <v>37</v>
      </c>
      <c r="D35">
        <v>1</v>
      </c>
      <c r="E35" t="s">
        <v>109</v>
      </c>
    </row>
    <row r="36" spans="1:5" x14ac:dyDescent="0.3">
      <c r="A36">
        <v>223</v>
      </c>
      <c r="B36" t="s">
        <v>5</v>
      </c>
      <c r="C36" t="s">
        <v>36</v>
      </c>
      <c r="D36">
        <v>8</v>
      </c>
      <c r="E36" t="s">
        <v>45</v>
      </c>
    </row>
    <row r="37" spans="1:5" x14ac:dyDescent="0.3">
      <c r="A37">
        <v>223</v>
      </c>
      <c r="B37" t="s">
        <v>9</v>
      </c>
      <c r="C37" t="s">
        <v>37</v>
      </c>
      <c r="D37">
        <v>-7</v>
      </c>
      <c r="E37" t="s">
        <v>51</v>
      </c>
    </row>
    <row r="38" spans="1:5" x14ac:dyDescent="0.3">
      <c r="A38">
        <v>224</v>
      </c>
      <c r="B38" t="s">
        <v>3</v>
      </c>
      <c r="C38" t="s">
        <v>37</v>
      </c>
      <c r="D38">
        <v>72</v>
      </c>
      <c r="E38" t="s">
        <v>62</v>
      </c>
    </row>
    <row r="39" spans="1:5" x14ac:dyDescent="0.3">
      <c r="A39">
        <v>224</v>
      </c>
      <c r="B39" t="s">
        <v>10</v>
      </c>
      <c r="C39" t="s">
        <v>37</v>
      </c>
      <c r="D39">
        <v>34</v>
      </c>
      <c r="E39" t="s">
        <v>61</v>
      </c>
    </row>
    <row r="40" spans="1:5" x14ac:dyDescent="0.3">
      <c r="A40">
        <v>224</v>
      </c>
      <c r="B40" t="s">
        <v>22</v>
      </c>
      <c r="C40" t="s">
        <v>65</v>
      </c>
      <c r="D40">
        <v>6</v>
      </c>
      <c r="E40" t="s">
        <v>66</v>
      </c>
    </row>
    <row r="41" spans="1:5" x14ac:dyDescent="0.3">
      <c r="A41">
        <v>224</v>
      </c>
      <c r="B41" t="s">
        <v>13</v>
      </c>
      <c r="C41" t="s">
        <v>36</v>
      </c>
      <c r="D41">
        <v>1</v>
      </c>
      <c r="E41" t="s">
        <v>64</v>
      </c>
    </row>
    <row r="42" spans="1:5" x14ac:dyDescent="0.3">
      <c r="A42">
        <v>226</v>
      </c>
      <c r="B42" t="s">
        <v>3</v>
      </c>
      <c r="C42" t="s">
        <v>37</v>
      </c>
      <c r="D42">
        <v>0</v>
      </c>
      <c r="E42" t="s">
        <v>92</v>
      </c>
    </row>
    <row r="43" spans="1:5" x14ac:dyDescent="0.3">
      <c r="A43">
        <v>226</v>
      </c>
      <c r="B43" t="s">
        <v>80</v>
      </c>
      <c r="C43" t="s">
        <v>68</v>
      </c>
      <c r="D43">
        <v>4</v>
      </c>
      <c r="E43" t="s">
        <v>138</v>
      </c>
    </row>
    <row r="44" spans="1:5" x14ac:dyDescent="0.3">
      <c r="A44">
        <v>226</v>
      </c>
      <c r="B44" t="s">
        <v>33</v>
      </c>
      <c r="C44" t="s">
        <v>68</v>
      </c>
      <c r="D44">
        <v>1</v>
      </c>
      <c r="E44" t="s">
        <v>137</v>
      </c>
    </row>
    <row r="45" spans="1:5" x14ac:dyDescent="0.3">
      <c r="A45">
        <v>226</v>
      </c>
      <c r="B45" t="s">
        <v>23</v>
      </c>
      <c r="C45" t="s">
        <v>65</v>
      </c>
      <c r="D45">
        <v>3</v>
      </c>
      <c r="E45" t="s">
        <v>81</v>
      </c>
    </row>
    <row r="46" spans="1:5" x14ac:dyDescent="0.3">
      <c r="A46">
        <v>226</v>
      </c>
      <c r="B46" t="s">
        <v>22</v>
      </c>
      <c r="C46" t="s">
        <v>65</v>
      </c>
      <c r="D46">
        <v>22</v>
      </c>
      <c r="E46" t="s">
        <v>114</v>
      </c>
    </row>
    <row r="47" spans="1:5" x14ac:dyDescent="0.3">
      <c r="A47">
        <v>226</v>
      </c>
      <c r="B47" t="s">
        <v>12</v>
      </c>
      <c r="C47" t="s">
        <v>37</v>
      </c>
      <c r="D47">
        <v>12</v>
      </c>
      <c r="E47" t="s">
        <v>81</v>
      </c>
    </row>
    <row r="48" spans="1:5" x14ac:dyDescent="0.3">
      <c r="A48">
        <v>226</v>
      </c>
      <c r="B48" t="s">
        <v>14</v>
      </c>
      <c r="C48" t="s">
        <v>37</v>
      </c>
      <c r="D48">
        <v>1</v>
      </c>
      <c r="E48" t="s">
        <v>64</v>
      </c>
    </row>
    <row r="49" spans="1:5" x14ac:dyDescent="0.3">
      <c r="A49">
        <v>226</v>
      </c>
      <c r="B49" t="s">
        <v>18</v>
      </c>
      <c r="C49" t="s">
        <v>37</v>
      </c>
      <c r="D49">
        <v>1</v>
      </c>
      <c r="E49" t="s">
        <v>93</v>
      </c>
    </row>
    <row r="50" spans="1:5" x14ac:dyDescent="0.3">
      <c r="A50">
        <v>226</v>
      </c>
      <c r="B50" t="s">
        <v>28</v>
      </c>
      <c r="C50" t="s">
        <v>68</v>
      </c>
      <c r="D50">
        <v>1</v>
      </c>
      <c r="E50" t="s">
        <v>114</v>
      </c>
    </row>
    <row r="51" spans="1:5" x14ac:dyDescent="0.3">
      <c r="A51">
        <v>226</v>
      </c>
      <c r="B51" t="s">
        <v>19</v>
      </c>
      <c r="C51" t="s">
        <v>65</v>
      </c>
      <c r="D51">
        <v>21</v>
      </c>
      <c r="E51" t="s">
        <v>114</v>
      </c>
    </row>
    <row r="52" spans="1:5" x14ac:dyDescent="0.3">
      <c r="A52">
        <v>226</v>
      </c>
      <c r="B52" t="s">
        <v>17</v>
      </c>
      <c r="C52" t="s">
        <v>37</v>
      </c>
      <c r="D52">
        <v>1</v>
      </c>
      <c r="E52" t="s">
        <v>93</v>
      </c>
    </row>
    <row r="53" spans="1:5" x14ac:dyDescent="0.3">
      <c r="A53">
        <v>226</v>
      </c>
      <c r="B53" t="s">
        <v>21</v>
      </c>
      <c r="C53" t="s">
        <v>65</v>
      </c>
      <c r="D53">
        <v>10</v>
      </c>
      <c r="E53" t="s">
        <v>125</v>
      </c>
    </row>
    <row r="54" spans="1:5" x14ac:dyDescent="0.3">
      <c r="A54">
        <v>226</v>
      </c>
      <c r="B54" t="s">
        <v>20</v>
      </c>
      <c r="C54" t="s">
        <v>65</v>
      </c>
      <c r="D54">
        <v>4</v>
      </c>
      <c r="E54" t="s">
        <v>114</v>
      </c>
    </row>
    <row r="55" spans="1:5" x14ac:dyDescent="0.3">
      <c r="A55">
        <v>226</v>
      </c>
      <c r="B55" t="s">
        <v>76</v>
      </c>
      <c r="C55" t="s">
        <v>68</v>
      </c>
      <c r="D55">
        <v>13</v>
      </c>
      <c r="E55" t="s">
        <v>123</v>
      </c>
    </row>
    <row r="56" spans="1:5" x14ac:dyDescent="0.3">
      <c r="A56">
        <v>226</v>
      </c>
      <c r="B56" t="s">
        <v>77</v>
      </c>
      <c r="C56" t="s">
        <v>65</v>
      </c>
      <c r="D56">
        <v>0</v>
      </c>
      <c r="E56" t="s">
        <v>94</v>
      </c>
    </row>
    <row r="57" spans="1:5" x14ac:dyDescent="0.3">
      <c r="A57">
        <v>226</v>
      </c>
      <c r="B57" t="s">
        <v>24</v>
      </c>
      <c r="C57" t="s">
        <v>84</v>
      </c>
      <c r="D57">
        <v>4</v>
      </c>
      <c r="E57" t="s">
        <v>124</v>
      </c>
    </row>
    <row r="58" spans="1:5" x14ac:dyDescent="0.3">
      <c r="A58">
        <v>226</v>
      </c>
      <c r="B58" t="s">
        <v>15</v>
      </c>
      <c r="C58" t="s">
        <v>37</v>
      </c>
      <c r="D58">
        <v>1</v>
      </c>
      <c r="E58" t="s">
        <v>64</v>
      </c>
    </row>
    <row r="59" spans="1:5" x14ac:dyDescent="0.3">
      <c r="A59">
        <v>228</v>
      </c>
      <c r="B59" t="s">
        <v>38</v>
      </c>
      <c r="C59" t="s">
        <v>68</v>
      </c>
      <c r="D59">
        <v>0</v>
      </c>
      <c r="E59" t="s">
        <v>94</v>
      </c>
    </row>
    <row r="60" spans="1:5" x14ac:dyDescent="0.3">
      <c r="A60">
        <v>232</v>
      </c>
      <c r="B60" t="s">
        <v>35</v>
      </c>
      <c r="C60" t="s">
        <v>68</v>
      </c>
      <c r="D60">
        <v>2</v>
      </c>
      <c r="E60" t="s">
        <v>95</v>
      </c>
    </row>
    <row r="61" spans="1:5" x14ac:dyDescent="0.3">
      <c r="A61">
        <v>232</v>
      </c>
      <c r="B61" t="s">
        <v>34</v>
      </c>
      <c r="C61" t="s">
        <v>68</v>
      </c>
      <c r="D61">
        <v>0</v>
      </c>
      <c r="E61" t="s">
        <v>97</v>
      </c>
    </row>
    <row r="62" spans="1:5" x14ac:dyDescent="0.3">
      <c r="A62">
        <v>232</v>
      </c>
      <c r="B62" t="s">
        <v>38</v>
      </c>
      <c r="C62" t="s">
        <v>68</v>
      </c>
      <c r="D62">
        <v>1</v>
      </c>
      <c r="E62" t="s">
        <v>96</v>
      </c>
    </row>
    <row r="63" spans="1:5" x14ac:dyDescent="0.3">
      <c r="A63">
        <v>232</v>
      </c>
      <c r="B63" t="s">
        <v>31</v>
      </c>
      <c r="C63" t="s">
        <v>68</v>
      </c>
      <c r="D63">
        <v>3</v>
      </c>
      <c r="E63" t="s">
        <v>70</v>
      </c>
    </row>
    <row r="64" spans="1:5" x14ac:dyDescent="0.3">
      <c r="A64">
        <v>233</v>
      </c>
      <c r="B64" t="s">
        <v>31</v>
      </c>
      <c r="C64" t="s">
        <v>68</v>
      </c>
      <c r="D64">
        <v>4</v>
      </c>
      <c r="E64" t="s">
        <v>72</v>
      </c>
    </row>
    <row r="65" spans="1:5" x14ac:dyDescent="0.3">
      <c r="A65">
        <v>233</v>
      </c>
      <c r="B65" t="s">
        <v>33</v>
      </c>
      <c r="C65" t="s">
        <v>68</v>
      </c>
      <c r="D65">
        <v>2</v>
      </c>
      <c r="E65" t="s">
        <v>71</v>
      </c>
    </row>
    <row r="66" spans="1:5" x14ac:dyDescent="0.3">
      <c r="A66">
        <v>233</v>
      </c>
      <c r="B66" t="s">
        <v>34</v>
      </c>
      <c r="C66" t="s">
        <v>68</v>
      </c>
      <c r="D66">
        <v>1</v>
      </c>
      <c r="E66" t="s">
        <v>98</v>
      </c>
    </row>
    <row r="67" spans="1:5" x14ac:dyDescent="0.3">
      <c r="A67">
        <v>233</v>
      </c>
      <c r="B67" t="s">
        <v>35</v>
      </c>
      <c r="C67" t="s">
        <v>68</v>
      </c>
      <c r="D67">
        <v>2</v>
      </c>
      <c r="E67" t="s">
        <v>93</v>
      </c>
    </row>
    <row r="68" spans="1:5" x14ac:dyDescent="0.3">
      <c r="A68">
        <v>233</v>
      </c>
      <c r="B68" t="s">
        <v>38</v>
      </c>
      <c r="C68" t="s">
        <v>68</v>
      </c>
      <c r="D68">
        <v>1</v>
      </c>
      <c r="E68" t="s">
        <v>93</v>
      </c>
    </row>
    <row r="69" spans="1:5" x14ac:dyDescent="0.3">
      <c r="A69">
        <v>234</v>
      </c>
      <c r="B69" t="s">
        <v>29</v>
      </c>
      <c r="C69" t="s">
        <v>68</v>
      </c>
      <c r="D69">
        <v>1</v>
      </c>
      <c r="E69" t="s">
        <v>73</v>
      </c>
    </row>
    <row r="70" spans="1:5" x14ac:dyDescent="0.3">
      <c r="A70">
        <v>234</v>
      </c>
      <c r="B70" t="s">
        <v>35</v>
      </c>
      <c r="C70" t="s">
        <v>68</v>
      </c>
      <c r="D70">
        <v>1</v>
      </c>
      <c r="E70" t="s">
        <v>94</v>
      </c>
    </row>
    <row r="71" spans="1:5" x14ac:dyDescent="0.3">
      <c r="A71">
        <v>234</v>
      </c>
      <c r="B71" t="s">
        <v>38</v>
      </c>
      <c r="C71" t="s">
        <v>68</v>
      </c>
      <c r="D71">
        <v>1</v>
      </c>
      <c r="E71" t="s">
        <v>100</v>
      </c>
    </row>
    <row r="72" spans="1:5" x14ac:dyDescent="0.3">
      <c r="A72">
        <v>234</v>
      </c>
      <c r="B72" t="s">
        <v>33</v>
      </c>
      <c r="C72" t="s">
        <v>68</v>
      </c>
      <c r="D72">
        <v>1</v>
      </c>
      <c r="E72" t="s">
        <v>99</v>
      </c>
    </row>
    <row r="73" spans="1:5" x14ac:dyDescent="0.3">
      <c r="A73">
        <v>234</v>
      </c>
      <c r="B73" t="s">
        <v>34</v>
      </c>
      <c r="C73" t="s">
        <v>68</v>
      </c>
      <c r="D73">
        <v>1</v>
      </c>
      <c r="E73" t="s">
        <v>99</v>
      </c>
    </row>
    <row r="74" spans="1:5" x14ac:dyDescent="0.3">
      <c r="A74">
        <v>234</v>
      </c>
      <c r="B74" t="s">
        <v>80</v>
      </c>
      <c r="C74" t="s">
        <v>68</v>
      </c>
      <c r="D74">
        <v>1</v>
      </c>
      <c r="E74" t="s">
        <v>85</v>
      </c>
    </row>
    <row r="75" spans="1:5" x14ac:dyDescent="0.3">
      <c r="A75">
        <v>235</v>
      </c>
      <c r="B75" t="s">
        <v>77</v>
      </c>
      <c r="C75" t="s">
        <v>65</v>
      </c>
      <c r="D75">
        <v>3</v>
      </c>
      <c r="E75" t="s">
        <v>104</v>
      </c>
    </row>
    <row r="76" spans="1:5" x14ac:dyDescent="0.3">
      <c r="A76">
        <v>235</v>
      </c>
      <c r="B76" t="s">
        <v>12</v>
      </c>
      <c r="C76" t="s">
        <v>37</v>
      </c>
      <c r="D76">
        <v>9</v>
      </c>
      <c r="E76" t="s">
        <v>67</v>
      </c>
    </row>
    <row r="77" spans="1:5" x14ac:dyDescent="0.3">
      <c r="A77">
        <v>235</v>
      </c>
      <c r="B77" t="s">
        <v>21</v>
      </c>
      <c r="C77" t="s">
        <v>65</v>
      </c>
      <c r="D77">
        <v>2</v>
      </c>
      <c r="E77" t="s">
        <v>70</v>
      </c>
    </row>
    <row r="78" spans="1:5" x14ac:dyDescent="0.3">
      <c r="A78">
        <v>235</v>
      </c>
      <c r="B78" t="s">
        <v>22</v>
      </c>
      <c r="C78" t="s">
        <v>65</v>
      </c>
      <c r="D78">
        <v>1</v>
      </c>
      <c r="E78" t="s">
        <v>79</v>
      </c>
    </row>
    <row r="79" spans="1:5" x14ac:dyDescent="0.3">
      <c r="A79">
        <v>235</v>
      </c>
      <c r="B79" t="s">
        <v>23</v>
      </c>
      <c r="C79" t="s">
        <v>65</v>
      </c>
      <c r="D79">
        <v>16</v>
      </c>
      <c r="E79" t="s">
        <v>107</v>
      </c>
    </row>
    <row r="80" spans="1:5" x14ac:dyDescent="0.3">
      <c r="A80">
        <v>235</v>
      </c>
      <c r="B80" t="s">
        <v>24</v>
      </c>
      <c r="C80" t="s">
        <v>84</v>
      </c>
      <c r="D80">
        <v>5</v>
      </c>
      <c r="E80" t="s">
        <v>106</v>
      </c>
    </row>
    <row r="81" spans="1:5" x14ac:dyDescent="0.3">
      <c r="A81">
        <v>235</v>
      </c>
      <c r="B81" t="s">
        <v>76</v>
      </c>
      <c r="C81" t="s">
        <v>68</v>
      </c>
      <c r="D81">
        <v>48</v>
      </c>
      <c r="E81" t="s">
        <v>81</v>
      </c>
    </row>
    <row r="82" spans="1:5" x14ac:dyDescent="0.3">
      <c r="A82">
        <v>235</v>
      </c>
      <c r="B82" t="s">
        <v>33</v>
      </c>
      <c r="C82" t="s">
        <v>68</v>
      </c>
      <c r="D82">
        <v>1</v>
      </c>
      <c r="E82" t="s">
        <v>102</v>
      </c>
    </row>
    <row r="83" spans="1:5" x14ac:dyDescent="0.3">
      <c r="A83">
        <v>235</v>
      </c>
      <c r="B83" t="s">
        <v>80</v>
      </c>
      <c r="C83" t="s">
        <v>68</v>
      </c>
      <c r="D83">
        <v>3</v>
      </c>
      <c r="E83" t="s">
        <v>87</v>
      </c>
    </row>
    <row r="84" spans="1:5" x14ac:dyDescent="0.3">
      <c r="A84">
        <v>235</v>
      </c>
      <c r="B84" t="s">
        <v>32</v>
      </c>
      <c r="C84" t="s">
        <v>68</v>
      </c>
      <c r="D84">
        <v>1</v>
      </c>
      <c r="E84" t="s">
        <v>103</v>
      </c>
    </row>
    <row r="85" spans="1:5" x14ac:dyDescent="0.3">
      <c r="A85">
        <v>235</v>
      </c>
      <c r="B85" t="s">
        <v>34</v>
      </c>
      <c r="C85" t="s">
        <v>68</v>
      </c>
      <c r="D85">
        <v>1</v>
      </c>
      <c r="E85" t="s">
        <v>94</v>
      </c>
    </row>
    <row r="86" spans="1:5" x14ac:dyDescent="0.3">
      <c r="A86">
        <v>235</v>
      </c>
      <c r="B86" t="s">
        <v>26</v>
      </c>
      <c r="C86" t="s">
        <v>84</v>
      </c>
      <c r="D86">
        <v>2</v>
      </c>
      <c r="E86" t="s">
        <v>105</v>
      </c>
    </row>
    <row r="87" spans="1:5" x14ac:dyDescent="0.3">
      <c r="A87">
        <v>235</v>
      </c>
      <c r="B87" t="s">
        <v>35</v>
      </c>
      <c r="C87" t="s">
        <v>68</v>
      </c>
      <c r="D87">
        <v>1</v>
      </c>
      <c r="E87" t="s">
        <v>81</v>
      </c>
    </row>
    <row r="88" spans="1:5" x14ac:dyDescent="0.3">
      <c r="A88">
        <v>235</v>
      </c>
      <c r="B88" t="s">
        <v>74</v>
      </c>
      <c r="C88" t="s">
        <v>65</v>
      </c>
      <c r="D88">
        <v>0</v>
      </c>
      <c r="E88" t="s">
        <v>90</v>
      </c>
    </row>
    <row r="89" spans="1:5" x14ac:dyDescent="0.3">
      <c r="A89">
        <v>235</v>
      </c>
      <c r="B89" t="s">
        <v>31</v>
      </c>
      <c r="C89" t="s">
        <v>68</v>
      </c>
      <c r="D89">
        <v>1</v>
      </c>
      <c r="E89" t="s">
        <v>101</v>
      </c>
    </row>
    <row r="90" spans="1:5" x14ac:dyDescent="0.3">
      <c r="A90">
        <v>235</v>
      </c>
      <c r="B90" t="s">
        <v>38</v>
      </c>
      <c r="C90" t="s">
        <v>68</v>
      </c>
      <c r="D90">
        <v>0</v>
      </c>
      <c r="E90" t="s">
        <v>81</v>
      </c>
    </row>
    <row r="91" spans="1:5" x14ac:dyDescent="0.3">
      <c r="A91">
        <v>235</v>
      </c>
      <c r="B91" t="s">
        <v>30</v>
      </c>
      <c r="C91" t="s">
        <v>68</v>
      </c>
      <c r="D91">
        <v>4</v>
      </c>
      <c r="E91" t="s">
        <v>81</v>
      </c>
    </row>
    <row r="92" spans="1:5" x14ac:dyDescent="0.3">
      <c r="A92">
        <v>235</v>
      </c>
      <c r="B92" t="s">
        <v>29</v>
      </c>
      <c r="C92" t="s">
        <v>68</v>
      </c>
      <c r="D92">
        <v>1</v>
      </c>
      <c r="E92" t="s">
        <v>108</v>
      </c>
    </row>
    <row r="93" spans="1:5" x14ac:dyDescent="0.3">
      <c r="A93">
        <v>235</v>
      </c>
      <c r="B93" t="s">
        <v>28</v>
      </c>
      <c r="C93" t="s">
        <v>68</v>
      </c>
      <c r="D93">
        <v>1</v>
      </c>
      <c r="E93" t="s">
        <v>81</v>
      </c>
    </row>
    <row r="94" spans="1:5" x14ac:dyDescent="0.3">
      <c r="A94">
        <v>236</v>
      </c>
      <c r="B94" t="s">
        <v>20</v>
      </c>
      <c r="C94" t="s">
        <v>65</v>
      </c>
      <c r="D94">
        <v>5</v>
      </c>
      <c r="E94" t="s">
        <v>128</v>
      </c>
    </row>
    <row r="95" spans="1:5" x14ac:dyDescent="0.3">
      <c r="A95">
        <v>236</v>
      </c>
      <c r="B95" t="s">
        <v>26</v>
      </c>
      <c r="C95" t="s">
        <v>84</v>
      </c>
      <c r="D95">
        <v>4</v>
      </c>
      <c r="E95" t="s">
        <v>139</v>
      </c>
    </row>
    <row r="96" spans="1:5" x14ac:dyDescent="0.3">
      <c r="A96">
        <v>236</v>
      </c>
      <c r="B96" t="s">
        <v>22</v>
      </c>
      <c r="C96" t="s">
        <v>65</v>
      </c>
      <c r="D96">
        <v>1</v>
      </c>
      <c r="E96" t="s">
        <v>126</v>
      </c>
    </row>
    <row r="97" spans="1:5" x14ac:dyDescent="0.3">
      <c r="A97">
        <v>236</v>
      </c>
      <c r="B97" t="s">
        <v>23</v>
      </c>
      <c r="C97" t="s">
        <v>65</v>
      </c>
      <c r="D97">
        <v>4</v>
      </c>
      <c r="E97" t="s">
        <v>69</v>
      </c>
    </row>
    <row r="98" spans="1:5" x14ac:dyDescent="0.3">
      <c r="A98">
        <v>236</v>
      </c>
      <c r="B98" t="s">
        <v>24</v>
      </c>
      <c r="C98" t="s">
        <v>84</v>
      </c>
      <c r="D98">
        <v>9</v>
      </c>
      <c r="E98" t="s">
        <v>88</v>
      </c>
    </row>
    <row r="99" spans="1:5" x14ac:dyDescent="0.3">
      <c r="A99">
        <v>236</v>
      </c>
      <c r="B99" t="s">
        <v>17</v>
      </c>
      <c r="C99" t="s">
        <v>37</v>
      </c>
      <c r="D99">
        <v>2</v>
      </c>
      <c r="E99" t="s">
        <v>109</v>
      </c>
    </row>
    <row r="100" spans="1:5" x14ac:dyDescent="0.3">
      <c r="A100">
        <v>236</v>
      </c>
      <c r="B100" t="s">
        <v>10</v>
      </c>
      <c r="C100" t="s">
        <v>37</v>
      </c>
      <c r="D100">
        <v>2</v>
      </c>
      <c r="E100" t="s">
        <v>87</v>
      </c>
    </row>
    <row r="101" spans="1:5" x14ac:dyDescent="0.3">
      <c r="A101">
        <v>236</v>
      </c>
      <c r="B101" t="s">
        <v>33</v>
      </c>
      <c r="C101" t="s">
        <v>68</v>
      </c>
      <c r="D101">
        <v>0</v>
      </c>
      <c r="E101" t="s">
        <v>151</v>
      </c>
    </row>
    <row r="102" spans="1:5" x14ac:dyDescent="0.3">
      <c r="A102">
        <v>236</v>
      </c>
      <c r="B102" t="s">
        <v>34</v>
      </c>
      <c r="C102" t="s">
        <v>68</v>
      </c>
      <c r="D102">
        <v>1</v>
      </c>
      <c r="E102" t="s">
        <v>81</v>
      </c>
    </row>
    <row r="103" spans="1:5" x14ac:dyDescent="0.3">
      <c r="A103">
        <v>236</v>
      </c>
      <c r="B103" t="s">
        <v>35</v>
      </c>
      <c r="C103" t="s">
        <v>68</v>
      </c>
      <c r="D103">
        <v>5</v>
      </c>
      <c r="E103" t="s">
        <v>153</v>
      </c>
    </row>
    <row r="104" spans="1:5" x14ac:dyDescent="0.3">
      <c r="A104">
        <v>236</v>
      </c>
      <c r="B104" t="s">
        <v>38</v>
      </c>
      <c r="C104" t="s">
        <v>68</v>
      </c>
      <c r="D104">
        <v>1</v>
      </c>
      <c r="E104" t="s">
        <v>160</v>
      </c>
    </row>
    <row r="105" spans="1:5" x14ac:dyDescent="0.3">
      <c r="A105">
        <v>236</v>
      </c>
      <c r="B105" t="s">
        <v>19</v>
      </c>
      <c r="C105" t="s">
        <v>65</v>
      </c>
      <c r="D105">
        <v>5</v>
      </c>
      <c r="E105" t="s">
        <v>69</v>
      </c>
    </row>
    <row r="106" spans="1:5" x14ac:dyDescent="0.3">
      <c r="A106">
        <v>236</v>
      </c>
      <c r="B106" t="s">
        <v>15</v>
      </c>
      <c r="C106" t="s">
        <v>37</v>
      </c>
      <c r="D106">
        <v>0</v>
      </c>
      <c r="E106" t="s">
        <v>69</v>
      </c>
    </row>
    <row r="107" spans="1:5" x14ac:dyDescent="0.3">
      <c r="A107">
        <v>236</v>
      </c>
      <c r="B107" t="s">
        <v>14</v>
      </c>
      <c r="C107" t="s">
        <v>37</v>
      </c>
      <c r="D107">
        <v>1</v>
      </c>
      <c r="E107" t="s">
        <v>93</v>
      </c>
    </row>
    <row r="108" spans="1:5" x14ac:dyDescent="0.3">
      <c r="A108">
        <v>236</v>
      </c>
      <c r="B108" t="s">
        <v>3</v>
      </c>
      <c r="C108" t="s">
        <v>37</v>
      </c>
      <c r="D108">
        <v>1</v>
      </c>
      <c r="E108" t="s">
        <v>111</v>
      </c>
    </row>
    <row r="109" spans="1:5" x14ac:dyDescent="0.3">
      <c r="A109">
        <v>236</v>
      </c>
      <c r="B109" t="s">
        <v>28</v>
      </c>
      <c r="C109" t="s">
        <v>68</v>
      </c>
      <c r="D109">
        <v>1</v>
      </c>
      <c r="E109" t="s">
        <v>81</v>
      </c>
    </row>
    <row r="110" spans="1:5" x14ac:dyDescent="0.3">
      <c r="A110">
        <v>236</v>
      </c>
      <c r="B110" t="s">
        <v>6</v>
      </c>
      <c r="C110" t="s">
        <v>36</v>
      </c>
      <c r="D110">
        <v>47</v>
      </c>
      <c r="E110" t="s">
        <v>62</v>
      </c>
    </row>
    <row r="111" spans="1:5" x14ac:dyDescent="0.3">
      <c r="A111">
        <v>236</v>
      </c>
      <c r="B111" t="s">
        <v>32</v>
      </c>
      <c r="C111" t="s">
        <v>68</v>
      </c>
      <c r="D111">
        <v>0</v>
      </c>
      <c r="E111" t="s">
        <v>140</v>
      </c>
    </row>
    <row r="112" spans="1:5" x14ac:dyDescent="0.3">
      <c r="A112">
        <v>236</v>
      </c>
      <c r="B112" t="s">
        <v>16</v>
      </c>
      <c r="C112" t="s">
        <v>37</v>
      </c>
      <c r="D112">
        <v>2</v>
      </c>
      <c r="E112" t="s">
        <v>87</v>
      </c>
    </row>
    <row r="113" spans="1:5" x14ac:dyDescent="0.3">
      <c r="A113">
        <v>236</v>
      </c>
      <c r="B113" t="s">
        <v>80</v>
      </c>
      <c r="C113" t="s">
        <v>68</v>
      </c>
      <c r="D113">
        <v>3</v>
      </c>
      <c r="E113" t="s">
        <v>124</v>
      </c>
    </row>
    <row r="114" spans="1:5" x14ac:dyDescent="0.3">
      <c r="A114">
        <v>236</v>
      </c>
      <c r="B114" t="s">
        <v>31</v>
      </c>
      <c r="C114" t="s">
        <v>68</v>
      </c>
      <c r="D114">
        <v>3</v>
      </c>
      <c r="E114" t="s">
        <v>81</v>
      </c>
    </row>
    <row r="115" spans="1:5" x14ac:dyDescent="0.3">
      <c r="A115">
        <v>236</v>
      </c>
      <c r="B115" t="s">
        <v>30</v>
      </c>
      <c r="C115" t="s">
        <v>68</v>
      </c>
      <c r="D115">
        <v>2</v>
      </c>
      <c r="E115" t="s">
        <v>103</v>
      </c>
    </row>
    <row r="116" spans="1:5" x14ac:dyDescent="0.3">
      <c r="A116">
        <v>236</v>
      </c>
      <c r="B116" t="s">
        <v>29</v>
      </c>
      <c r="C116" t="s">
        <v>68</v>
      </c>
      <c r="D116">
        <v>1</v>
      </c>
      <c r="E116" t="s">
        <v>103</v>
      </c>
    </row>
    <row r="117" spans="1:5" x14ac:dyDescent="0.3">
      <c r="A117">
        <v>236</v>
      </c>
      <c r="B117" t="s">
        <v>12</v>
      </c>
      <c r="C117" t="s">
        <v>37</v>
      </c>
      <c r="D117">
        <v>10</v>
      </c>
      <c r="E117" t="s">
        <v>110</v>
      </c>
    </row>
    <row r="118" spans="1:5" x14ac:dyDescent="0.3">
      <c r="A118">
        <v>236</v>
      </c>
      <c r="B118" t="s">
        <v>21</v>
      </c>
      <c r="C118" t="s">
        <v>65</v>
      </c>
      <c r="D118">
        <v>4</v>
      </c>
      <c r="E118" t="s">
        <v>127</v>
      </c>
    </row>
    <row r="119" spans="1:5" x14ac:dyDescent="0.3">
      <c r="A119">
        <v>237</v>
      </c>
      <c r="B119" t="s">
        <v>34</v>
      </c>
      <c r="C119" t="s">
        <v>68</v>
      </c>
      <c r="D119">
        <v>0</v>
      </c>
      <c r="E119" t="s">
        <v>124</v>
      </c>
    </row>
    <row r="120" spans="1:5" x14ac:dyDescent="0.3">
      <c r="A120">
        <v>237</v>
      </c>
      <c r="B120" t="s">
        <v>33</v>
      </c>
      <c r="C120" t="s">
        <v>68</v>
      </c>
      <c r="D120">
        <v>1</v>
      </c>
      <c r="E120" t="s">
        <v>124</v>
      </c>
    </row>
    <row r="121" spans="1:5" x14ac:dyDescent="0.3">
      <c r="A121">
        <v>237</v>
      </c>
      <c r="B121" t="s">
        <v>32</v>
      </c>
      <c r="C121" t="s">
        <v>68</v>
      </c>
      <c r="D121">
        <v>1</v>
      </c>
      <c r="E121" t="s">
        <v>124</v>
      </c>
    </row>
    <row r="122" spans="1:5" x14ac:dyDescent="0.3">
      <c r="A122">
        <v>237</v>
      </c>
      <c r="B122" t="s">
        <v>80</v>
      </c>
      <c r="C122" t="s">
        <v>68</v>
      </c>
      <c r="D122">
        <v>2</v>
      </c>
      <c r="E122" t="s">
        <v>87</v>
      </c>
    </row>
    <row r="123" spans="1:5" x14ac:dyDescent="0.3">
      <c r="A123">
        <v>237</v>
      </c>
      <c r="B123" t="s">
        <v>31</v>
      </c>
      <c r="C123" t="s">
        <v>68</v>
      </c>
      <c r="D123">
        <v>1</v>
      </c>
      <c r="E123" t="s">
        <v>81</v>
      </c>
    </row>
    <row r="124" spans="1:5" x14ac:dyDescent="0.3">
      <c r="A124">
        <v>237</v>
      </c>
      <c r="B124" t="s">
        <v>30</v>
      </c>
      <c r="C124" t="s">
        <v>68</v>
      </c>
      <c r="D124">
        <v>0</v>
      </c>
      <c r="E124" t="s">
        <v>81</v>
      </c>
    </row>
    <row r="125" spans="1:5" x14ac:dyDescent="0.3">
      <c r="A125">
        <v>237</v>
      </c>
      <c r="B125" t="s">
        <v>35</v>
      </c>
      <c r="C125" t="s">
        <v>68</v>
      </c>
      <c r="D125">
        <v>1</v>
      </c>
      <c r="E125" t="s">
        <v>69</v>
      </c>
    </row>
    <row r="126" spans="1:5" x14ac:dyDescent="0.3">
      <c r="A126">
        <v>237</v>
      </c>
      <c r="B126" t="s">
        <v>27</v>
      </c>
      <c r="C126" t="s">
        <v>84</v>
      </c>
      <c r="D126">
        <v>0</v>
      </c>
      <c r="E126" t="s">
        <v>81</v>
      </c>
    </row>
    <row r="127" spans="1:5" x14ac:dyDescent="0.3">
      <c r="A127">
        <v>237</v>
      </c>
      <c r="B127" t="s">
        <v>28</v>
      </c>
      <c r="C127" t="s">
        <v>68</v>
      </c>
      <c r="D127">
        <v>1</v>
      </c>
      <c r="E127" t="s">
        <v>114</v>
      </c>
    </row>
    <row r="128" spans="1:5" x14ac:dyDescent="0.3">
      <c r="A128">
        <v>237</v>
      </c>
      <c r="B128" t="s">
        <v>24</v>
      </c>
      <c r="C128" t="s">
        <v>84</v>
      </c>
      <c r="D128">
        <v>1</v>
      </c>
      <c r="E128" t="s">
        <v>94</v>
      </c>
    </row>
    <row r="129" spans="1:5" x14ac:dyDescent="0.3">
      <c r="A129">
        <v>237</v>
      </c>
      <c r="B129" t="s">
        <v>77</v>
      </c>
      <c r="C129" t="s">
        <v>65</v>
      </c>
      <c r="D129">
        <v>1</v>
      </c>
      <c r="E129" t="s">
        <v>115</v>
      </c>
    </row>
    <row r="130" spans="1:5" x14ac:dyDescent="0.3">
      <c r="A130">
        <v>237</v>
      </c>
      <c r="B130" t="s">
        <v>23</v>
      </c>
      <c r="C130" t="s">
        <v>65</v>
      </c>
      <c r="D130">
        <v>4</v>
      </c>
      <c r="E130" t="s">
        <v>112</v>
      </c>
    </row>
    <row r="131" spans="1:5" x14ac:dyDescent="0.3">
      <c r="A131">
        <v>237</v>
      </c>
      <c r="B131" t="s">
        <v>22</v>
      </c>
      <c r="C131" t="s">
        <v>65</v>
      </c>
      <c r="D131">
        <v>1</v>
      </c>
      <c r="E131" t="s">
        <v>70</v>
      </c>
    </row>
    <row r="132" spans="1:5" x14ac:dyDescent="0.3">
      <c r="A132">
        <v>237</v>
      </c>
      <c r="B132" t="s">
        <v>21</v>
      </c>
      <c r="C132" t="s">
        <v>65</v>
      </c>
      <c r="D132">
        <v>3</v>
      </c>
      <c r="E132" t="s">
        <v>87</v>
      </c>
    </row>
    <row r="133" spans="1:5" x14ac:dyDescent="0.3">
      <c r="A133">
        <v>237</v>
      </c>
      <c r="B133" t="s">
        <v>20</v>
      </c>
      <c r="C133" t="s">
        <v>65</v>
      </c>
      <c r="D133">
        <v>12</v>
      </c>
      <c r="E133" t="s">
        <v>86</v>
      </c>
    </row>
    <row r="134" spans="1:5" x14ac:dyDescent="0.3">
      <c r="A134">
        <v>237</v>
      </c>
      <c r="B134" t="s">
        <v>19</v>
      </c>
      <c r="C134" t="s">
        <v>65</v>
      </c>
      <c r="D134">
        <v>8</v>
      </c>
      <c r="E134" t="s">
        <v>113</v>
      </c>
    </row>
    <row r="135" spans="1:5" x14ac:dyDescent="0.3">
      <c r="A135">
        <v>237</v>
      </c>
      <c r="B135" t="s">
        <v>29</v>
      </c>
      <c r="C135" t="s">
        <v>68</v>
      </c>
      <c r="D135">
        <v>0</v>
      </c>
      <c r="E135" t="s">
        <v>114</v>
      </c>
    </row>
    <row r="136" spans="1:5" x14ac:dyDescent="0.3">
      <c r="A136">
        <v>237</v>
      </c>
      <c r="B136" t="s">
        <v>26</v>
      </c>
      <c r="C136" t="s">
        <v>84</v>
      </c>
      <c r="D136">
        <v>3</v>
      </c>
      <c r="E136" t="s">
        <v>129</v>
      </c>
    </row>
    <row r="137" spans="1:5" x14ac:dyDescent="0.3">
      <c r="A137">
        <v>238</v>
      </c>
      <c r="B137" t="s">
        <v>31</v>
      </c>
      <c r="C137" t="s">
        <v>68</v>
      </c>
      <c r="D137">
        <v>100</v>
      </c>
      <c r="E137" t="s">
        <v>141</v>
      </c>
    </row>
    <row r="138" spans="1:5" x14ac:dyDescent="0.3">
      <c r="A138">
        <v>238</v>
      </c>
      <c r="B138" t="s">
        <v>76</v>
      </c>
      <c r="C138" t="s">
        <v>68</v>
      </c>
      <c r="D138">
        <v>7</v>
      </c>
      <c r="E138" t="s">
        <v>114</v>
      </c>
    </row>
    <row r="139" spans="1:5" x14ac:dyDescent="0.3">
      <c r="A139">
        <v>238</v>
      </c>
      <c r="B139" t="s">
        <v>13</v>
      </c>
      <c r="C139" t="s">
        <v>36</v>
      </c>
      <c r="D139">
        <v>-14</v>
      </c>
      <c r="E139" t="s">
        <v>114</v>
      </c>
    </row>
    <row r="140" spans="1:5" x14ac:dyDescent="0.3">
      <c r="A140">
        <v>238</v>
      </c>
      <c r="B140" t="s">
        <v>12</v>
      </c>
      <c r="C140" t="s">
        <v>37</v>
      </c>
      <c r="D140">
        <v>12</v>
      </c>
      <c r="E140" t="s">
        <v>88</v>
      </c>
    </row>
    <row r="141" spans="1:5" x14ac:dyDescent="0.3">
      <c r="A141">
        <v>238</v>
      </c>
      <c r="B141" t="s">
        <v>19</v>
      </c>
      <c r="C141" t="s">
        <v>65</v>
      </c>
      <c r="D141">
        <v>2</v>
      </c>
      <c r="E141" t="s">
        <v>116</v>
      </c>
    </row>
    <row r="142" spans="1:5" x14ac:dyDescent="0.3">
      <c r="A142">
        <v>238</v>
      </c>
      <c r="B142" t="s">
        <v>21</v>
      </c>
      <c r="C142" t="s">
        <v>65</v>
      </c>
      <c r="D142">
        <v>9</v>
      </c>
      <c r="E142" t="s">
        <v>86</v>
      </c>
    </row>
    <row r="143" spans="1:5" x14ac:dyDescent="0.3">
      <c r="A143">
        <v>238</v>
      </c>
      <c r="B143" t="s">
        <v>28</v>
      </c>
      <c r="C143" t="s">
        <v>68</v>
      </c>
      <c r="D143">
        <v>1</v>
      </c>
      <c r="E143" t="s">
        <v>114</v>
      </c>
    </row>
    <row r="144" spans="1:5" x14ac:dyDescent="0.3">
      <c r="A144">
        <v>238</v>
      </c>
      <c r="B144" t="s">
        <v>33</v>
      </c>
      <c r="C144" t="s">
        <v>68</v>
      </c>
      <c r="D144">
        <v>0</v>
      </c>
      <c r="E144" t="s">
        <v>142</v>
      </c>
    </row>
    <row r="145" spans="1:5" x14ac:dyDescent="0.3">
      <c r="A145">
        <v>238</v>
      </c>
      <c r="B145" t="s">
        <v>35</v>
      </c>
      <c r="C145" t="s">
        <v>68</v>
      </c>
      <c r="D145">
        <v>1</v>
      </c>
      <c r="E145" t="s">
        <v>114</v>
      </c>
    </row>
    <row r="146" spans="1:5" x14ac:dyDescent="0.3">
      <c r="A146">
        <v>238</v>
      </c>
      <c r="B146" t="s">
        <v>27</v>
      </c>
      <c r="C146" t="s">
        <v>84</v>
      </c>
      <c r="D146">
        <v>0</v>
      </c>
      <c r="E146" t="s">
        <v>130</v>
      </c>
    </row>
    <row r="147" spans="1:5" x14ac:dyDescent="0.3">
      <c r="A147">
        <v>239</v>
      </c>
      <c r="B147" t="s">
        <v>28</v>
      </c>
      <c r="C147" t="s">
        <v>68</v>
      </c>
      <c r="D147">
        <v>72</v>
      </c>
      <c r="E147" t="s">
        <v>124</v>
      </c>
    </row>
    <row r="148" spans="1:5" x14ac:dyDescent="0.3">
      <c r="A148">
        <v>239</v>
      </c>
      <c r="B148" t="s">
        <v>24</v>
      </c>
      <c r="C148" t="s">
        <v>84</v>
      </c>
      <c r="D148">
        <v>2</v>
      </c>
      <c r="E148" t="s">
        <v>69</v>
      </c>
    </row>
    <row r="149" spans="1:5" x14ac:dyDescent="0.3">
      <c r="A149">
        <v>239</v>
      </c>
      <c r="B149" t="s">
        <v>20</v>
      </c>
      <c r="C149" t="s">
        <v>65</v>
      </c>
      <c r="D149">
        <v>4</v>
      </c>
      <c r="E149" t="s">
        <v>116</v>
      </c>
    </row>
    <row r="150" spans="1:5" x14ac:dyDescent="0.3">
      <c r="A150">
        <v>239</v>
      </c>
      <c r="B150" t="s">
        <v>74</v>
      </c>
      <c r="C150" t="s">
        <v>65</v>
      </c>
      <c r="D150">
        <v>12</v>
      </c>
      <c r="E150" t="s">
        <v>116</v>
      </c>
    </row>
    <row r="151" spans="1:5" x14ac:dyDescent="0.3">
      <c r="A151">
        <v>239</v>
      </c>
      <c r="B151" t="s">
        <v>77</v>
      </c>
      <c r="C151" t="s">
        <v>65</v>
      </c>
      <c r="D151">
        <v>8</v>
      </c>
      <c r="E151" t="s">
        <v>81</v>
      </c>
    </row>
    <row r="152" spans="1:5" x14ac:dyDescent="0.3">
      <c r="A152">
        <v>239</v>
      </c>
      <c r="B152" t="s">
        <v>78</v>
      </c>
      <c r="C152" t="s">
        <v>37</v>
      </c>
      <c r="D152">
        <v>1</v>
      </c>
      <c r="E152" t="s">
        <v>118</v>
      </c>
    </row>
    <row r="153" spans="1:5" x14ac:dyDescent="0.3">
      <c r="A153">
        <v>239</v>
      </c>
      <c r="B153" t="s">
        <v>27</v>
      </c>
      <c r="C153" t="s">
        <v>84</v>
      </c>
      <c r="D153">
        <v>0</v>
      </c>
      <c r="E153" t="s">
        <v>81</v>
      </c>
    </row>
    <row r="154" spans="1:5" x14ac:dyDescent="0.3">
      <c r="A154">
        <v>239</v>
      </c>
      <c r="B154" t="s">
        <v>25</v>
      </c>
      <c r="C154" t="s">
        <v>84</v>
      </c>
      <c r="D154">
        <v>3</v>
      </c>
      <c r="E154" t="s">
        <v>69</v>
      </c>
    </row>
    <row r="155" spans="1:5" x14ac:dyDescent="0.3">
      <c r="A155">
        <v>239</v>
      </c>
      <c r="B155" t="s">
        <v>21</v>
      </c>
      <c r="C155" t="s">
        <v>65</v>
      </c>
      <c r="D155">
        <v>4</v>
      </c>
      <c r="E155" t="s">
        <v>117</v>
      </c>
    </row>
    <row r="156" spans="1:5" x14ac:dyDescent="0.3">
      <c r="A156">
        <v>239</v>
      </c>
      <c r="B156" t="s">
        <v>35</v>
      </c>
      <c r="C156" t="s">
        <v>68</v>
      </c>
      <c r="D156">
        <v>2</v>
      </c>
      <c r="E156" t="s">
        <v>143</v>
      </c>
    </row>
    <row r="157" spans="1:5" x14ac:dyDescent="0.3">
      <c r="A157">
        <v>240</v>
      </c>
      <c r="B157" t="s">
        <v>26</v>
      </c>
      <c r="C157" t="s">
        <v>84</v>
      </c>
      <c r="D157">
        <v>1</v>
      </c>
      <c r="E157" t="s">
        <v>155</v>
      </c>
    </row>
    <row r="158" spans="1:5" x14ac:dyDescent="0.3">
      <c r="A158">
        <v>240</v>
      </c>
      <c r="B158" t="s">
        <v>6</v>
      </c>
      <c r="C158" t="s">
        <v>36</v>
      </c>
      <c r="D158">
        <v>119</v>
      </c>
      <c r="E158" t="s">
        <v>81</v>
      </c>
    </row>
    <row r="159" spans="1:5" x14ac:dyDescent="0.3">
      <c r="A159">
        <v>240</v>
      </c>
      <c r="B159" t="s">
        <v>7</v>
      </c>
      <c r="C159" t="s">
        <v>36</v>
      </c>
      <c r="D159">
        <v>119</v>
      </c>
      <c r="E159" t="s">
        <v>81</v>
      </c>
    </row>
    <row r="160" spans="1:5" x14ac:dyDescent="0.3">
      <c r="A160">
        <v>240</v>
      </c>
      <c r="B160" t="s">
        <v>12</v>
      </c>
      <c r="C160" t="s">
        <v>37</v>
      </c>
      <c r="D160">
        <v>1</v>
      </c>
      <c r="E160" t="s">
        <v>103</v>
      </c>
    </row>
    <row r="161" spans="1:5" x14ac:dyDescent="0.3">
      <c r="A161">
        <v>240</v>
      </c>
      <c r="B161" t="s">
        <v>19</v>
      </c>
      <c r="C161" t="s">
        <v>65</v>
      </c>
      <c r="D161">
        <v>3</v>
      </c>
      <c r="E161" t="s">
        <v>146</v>
      </c>
    </row>
    <row r="162" spans="1:5" x14ac:dyDescent="0.3">
      <c r="A162">
        <v>240</v>
      </c>
      <c r="B162" t="s">
        <v>21</v>
      </c>
      <c r="C162" t="s">
        <v>65</v>
      </c>
      <c r="D162">
        <v>3</v>
      </c>
      <c r="E162" t="s">
        <v>145</v>
      </c>
    </row>
    <row r="163" spans="1:5" x14ac:dyDescent="0.3">
      <c r="A163">
        <v>240</v>
      </c>
      <c r="B163" t="s">
        <v>24</v>
      </c>
      <c r="C163" t="s">
        <v>84</v>
      </c>
      <c r="D163">
        <v>3</v>
      </c>
      <c r="E163" t="s">
        <v>154</v>
      </c>
    </row>
    <row r="164" spans="1:5" x14ac:dyDescent="0.3">
      <c r="A164">
        <v>240</v>
      </c>
      <c r="B164" t="s">
        <v>33</v>
      </c>
      <c r="C164" t="s">
        <v>68</v>
      </c>
      <c r="D164">
        <v>1</v>
      </c>
      <c r="E164" t="s">
        <v>87</v>
      </c>
    </row>
    <row r="165" spans="1:5" x14ac:dyDescent="0.3">
      <c r="A165">
        <v>240</v>
      </c>
      <c r="B165" t="s">
        <v>35</v>
      </c>
      <c r="C165" t="s">
        <v>68</v>
      </c>
      <c r="D165">
        <v>18</v>
      </c>
      <c r="E165" t="s">
        <v>183</v>
      </c>
    </row>
    <row r="166" spans="1:5" x14ac:dyDescent="0.3">
      <c r="A166">
        <v>240</v>
      </c>
      <c r="B166" t="s">
        <v>77</v>
      </c>
      <c r="C166" t="s">
        <v>65</v>
      </c>
      <c r="D166">
        <v>1</v>
      </c>
      <c r="E166" t="s">
        <v>81</v>
      </c>
    </row>
    <row r="167" spans="1:5" x14ac:dyDescent="0.3">
      <c r="A167">
        <v>240</v>
      </c>
      <c r="B167" t="s">
        <v>78</v>
      </c>
      <c r="C167" t="s">
        <v>37</v>
      </c>
      <c r="D167">
        <v>0</v>
      </c>
      <c r="E167" t="s">
        <v>81</v>
      </c>
    </row>
    <row r="168" spans="1:5" x14ac:dyDescent="0.3">
      <c r="A168">
        <v>240</v>
      </c>
      <c r="B168" t="s">
        <v>23</v>
      </c>
      <c r="C168" t="s">
        <v>65</v>
      </c>
      <c r="D168">
        <v>1</v>
      </c>
      <c r="E168" t="s">
        <v>144</v>
      </c>
    </row>
    <row r="169" spans="1:5" x14ac:dyDescent="0.3">
      <c r="A169">
        <v>241</v>
      </c>
      <c r="B169" t="s">
        <v>26</v>
      </c>
      <c r="C169" t="s">
        <v>84</v>
      </c>
      <c r="D169">
        <v>2</v>
      </c>
      <c r="E169" t="s">
        <v>87</v>
      </c>
    </row>
    <row r="170" spans="1:5" x14ac:dyDescent="0.3">
      <c r="A170">
        <v>241</v>
      </c>
      <c r="B170" t="s">
        <v>24</v>
      </c>
      <c r="C170" t="s">
        <v>84</v>
      </c>
      <c r="D170">
        <v>2</v>
      </c>
      <c r="E170" t="s">
        <v>161</v>
      </c>
    </row>
    <row r="171" spans="1:5" x14ac:dyDescent="0.3">
      <c r="A171">
        <v>241</v>
      </c>
      <c r="B171" t="s">
        <v>20</v>
      </c>
      <c r="C171" t="s">
        <v>65</v>
      </c>
      <c r="D171">
        <v>0</v>
      </c>
      <c r="E171" t="s">
        <v>156</v>
      </c>
    </row>
    <row r="172" spans="1:5" x14ac:dyDescent="0.3">
      <c r="A172">
        <v>241</v>
      </c>
      <c r="B172" t="s">
        <v>28</v>
      </c>
      <c r="C172" t="s">
        <v>68</v>
      </c>
      <c r="D172">
        <v>0</v>
      </c>
      <c r="E172" t="s">
        <v>159</v>
      </c>
    </row>
    <row r="173" spans="1:5" x14ac:dyDescent="0.3">
      <c r="A173">
        <v>241</v>
      </c>
      <c r="B173" t="s">
        <v>80</v>
      </c>
      <c r="C173" t="s">
        <v>68</v>
      </c>
      <c r="D173">
        <v>13</v>
      </c>
      <c r="E173" t="s">
        <v>192</v>
      </c>
    </row>
    <row r="174" spans="1:5" x14ac:dyDescent="0.3">
      <c r="A174">
        <v>241</v>
      </c>
      <c r="B174" t="s">
        <v>5</v>
      </c>
      <c r="C174" t="s">
        <v>36</v>
      </c>
      <c r="D174">
        <v>3</v>
      </c>
      <c r="E174" t="s">
        <v>121</v>
      </c>
    </row>
    <row r="175" spans="1:5" x14ac:dyDescent="0.3">
      <c r="A175">
        <v>241</v>
      </c>
      <c r="B175" t="s">
        <v>4</v>
      </c>
      <c r="C175" t="s">
        <v>36</v>
      </c>
      <c r="D175">
        <v>5</v>
      </c>
      <c r="E175" t="s">
        <v>120</v>
      </c>
    </row>
    <row r="176" spans="1:5" x14ac:dyDescent="0.3">
      <c r="A176">
        <v>241</v>
      </c>
      <c r="B176" t="s">
        <v>6</v>
      </c>
      <c r="C176" t="s">
        <v>36</v>
      </c>
      <c r="D176">
        <v>18</v>
      </c>
      <c r="E176" t="s">
        <v>119</v>
      </c>
    </row>
    <row r="177" spans="1:5" x14ac:dyDescent="0.3">
      <c r="A177">
        <v>241</v>
      </c>
      <c r="B177" t="s">
        <v>21</v>
      </c>
      <c r="C177" t="s">
        <v>65</v>
      </c>
      <c r="D177">
        <v>0</v>
      </c>
      <c r="E177" t="s">
        <v>81</v>
      </c>
    </row>
    <row r="178" spans="1:5" x14ac:dyDescent="0.3">
      <c r="A178">
        <v>242</v>
      </c>
      <c r="B178" t="s">
        <v>21</v>
      </c>
      <c r="C178" t="s">
        <v>65</v>
      </c>
      <c r="D178">
        <v>2</v>
      </c>
      <c r="E178" t="s">
        <v>133</v>
      </c>
    </row>
    <row r="179" spans="1:5" x14ac:dyDescent="0.3">
      <c r="A179">
        <v>242</v>
      </c>
      <c r="B179" t="s">
        <v>9</v>
      </c>
      <c r="C179" t="s">
        <v>37</v>
      </c>
      <c r="D179">
        <v>0</v>
      </c>
      <c r="E179" t="s">
        <v>87</v>
      </c>
    </row>
    <row r="180" spans="1:5" x14ac:dyDescent="0.3">
      <c r="A180">
        <v>242</v>
      </c>
      <c r="B180" t="s">
        <v>11</v>
      </c>
      <c r="C180" t="s">
        <v>37</v>
      </c>
      <c r="D180">
        <v>14</v>
      </c>
      <c r="E180" t="s">
        <v>131</v>
      </c>
    </row>
    <row r="181" spans="1:5" x14ac:dyDescent="0.3">
      <c r="A181">
        <v>242</v>
      </c>
      <c r="B181" t="s">
        <v>20</v>
      </c>
      <c r="C181" t="s">
        <v>65</v>
      </c>
      <c r="D181">
        <v>1</v>
      </c>
      <c r="E181" t="s">
        <v>99</v>
      </c>
    </row>
    <row r="182" spans="1:5" x14ac:dyDescent="0.3">
      <c r="A182">
        <v>242</v>
      </c>
      <c r="B182" t="s">
        <v>5</v>
      </c>
      <c r="C182" t="s">
        <v>36</v>
      </c>
      <c r="D182">
        <v>0</v>
      </c>
      <c r="E182" t="s">
        <v>87</v>
      </c>
    </row>
    <row r="183" spans="1:5" x14ac:dyDescent="0.3">
      <c r="A183">
        <v>242</v>
      </c>
      <c r="B183" t="s">
        <v>24</v>
      </c>
      <c r="C183" t="s">
        <v>84</v>
      </c>
      <c r="D183">
        <v>2</v>
      </c>
      <c r="E183" t="s">
        <v>147</v>
      </c>
    </row>
    <row r="184" spans="1:5" x14ac:dyDescent="0.3">
      <c r="A184">
        <v>242</v>
      </c>
      <c r="B184" t="s">
        <v>28</v>
      </c>
      <c r="C184" t="s">
        <v>68</v>
      </c>
      <c r="D184">
        <v>1</v>
      </c>
      <c r="E184" t="s">
        <v>152</v>
      </c>
    </row>
    <row r="185" spans="1:5" x14ac:dyDescent="0.3">
      <c r="A185">
        <v>242</v>
      </c>
      <c r="B185" t="s">
        <v>33</v>
      </c>
      <c r="C185" t="s">
        <v>68</v>
      </c>
      <c r="D185">
        <v>1</v>
      </c>
      <c r="E185" t="s">
        <v>137</v>
      </c>
    </row>
    <row r="186" spans="1:5" x14ac:dyDescent="0.3">
      <c r="A186">
        <v>242</v>
      </c>
      <c r="B186" t="s">
        <v>35</v>
      </c>
      <c r="C186" t="s">
        <v>68</v>
      </c>
      <c r="D186">
        <v>8</v>
      </c>
      <c r="E186" t="s">
        <v>162</v>
      </c>
    </row>
    <row r="187" spans="1:5" x14ac:dyDescent="0.3">
      <c r="A187">
        <v>242</v>
      </c>
      <c r="B187" t="s">
        <v>74</v>
      </c>
      <c r="C187" t="s">
        <v>65</v>
      </c>
      <c r="D187">
        <v>2</v>
      </c>
      <c r="E187" t="s">
        <v>148</v>
      </c>
    </row>
    <row r="188" spans="1:5" x14ac:dyDescent="0.3">
      <c r="A188">
        <v>242</v>
      </c>
      <c r="B188" t="s">
        <v>77</v>
      </c>
      <c r="C188" t="s">
        <v>65</v>
      </c>
      <c r="D188">
        <v>2</v>
      </c>
      <c r="E188" t="s">
        <v>149</v>
      </c>
    </row>
    <row r="189" spans="1:5" x14ac:dyDescent="0.3">
      <c r="A189">
        <v>242</v>
      </c>
      <c r="B189" t="s">
        <v>78</v>
      </c>
      <c r="C189" t="s">
        <v>37</v>
      </c>
      <c r="D189">
        <v>0</v>
      </c>
      <c r="E189" t="s">
        <v>103</v>
      </c>
    </row>
    <row r="190" spans="1:5" x14ac:dyDescent="0.3">
      <c r="A190">
        <v>242</v>
      </c>
      <c r="B190" t="s">
        <v>76</v>
      </c>
      <c r="C190" t="s">
        <v>68</v>
      </c>
      <c r="D190">
        <v>2</v>
      </c>
      <c r="E190" t="s">
        <v>152</v>
      </c>
    </row>
    <row r="191" spans="1:5" x14ac:dyDescent="0.3">
      <c r="A191">
        <v>242</v>
      </c>
      <c r="B191" t="s">
        <v>19</v>
      </c>
      <c r="C191" t="s">
        <v>65</v>
      </c>
      <c r="D191">
        <v>2</v>
      </c>
      <c r="E191" t="s">
        <v>132</v>
      </c>
    </row>
    <row r="192" spans="1:5" x14ac:dyDescent="0.3">
      <c r="A192">
        <v>243</v>
      </c>
      <c r="B192" t="s">
        <v>74</v>
      </c>
      <c r="C192" t="s">
        <v>65</v>
      </c>
      <c r="D192">
        <v>1</v>
      </c>
      <c r="E192" t="s">
        <v>124</v>
      </c>
    </row>
    <row r="193" spans="1:5" x14ac:dyDescent="0.3">
      <c r="A193">
        <v>243</v>
      </c>
      <c r="B193" t="s">
        <v>21</v>
      </c>
      <c r="C193" t="s">
        <v>65</v>
      </c>
      <c r="D193">
        <v>5</v>
      </c>
      <c r="E193" t="s">
        <v>278</v>
      </c>
    </row>
    <row r="194" spans="1:5" x14ac:dyDescent="0.3">
      <c r="A194">
        <v>243</v>
      </c>
      <c r="B194" t="s">
        <v>23</v>
      </c>
      <c r="C194" t="s">
        <v>65</v>
      </c>
      <c r="D194">
        <v>7</v>
      </c>
      <c r="E194" t="s">
        <v>281</v>
      </c>
    </row>
    <row r="195" spans="1:5" x14ac:dyDescent="0.3">
      <c r="A195">
        <v>243</v>
      </c>
      <c r="B195" t="s">
        <v>10</v>
      </c>
      <c r="C195" t="s">
        <v>37</v>
      </c>
      <c r="D195">
        <v>161</v>
      </c>
      <c r="E195" t="s">
        <v>279</v>
      </c>
    </row>
    <row r="196" spans="1:5" x14ac:dyDescent="0.3">
      <c r="A196">
        <v>243</v>
      </c>
      <c r="B196" t="s">
        <v>5</v>
      </c>
      <c r="C196" t="s">
        <v>36</v>
      </c>
      <c r="D196">
        <v>0</v>
      </c>
      <c r="E196" t="s">
        <v>114</v>
      </c>
    </row>
    <row r="197" spans="1:5" x14ac:dyDescent="0.3">
      <c r="A197">
        <v>243</v>
      </c>
      <c r="B197" t="s">
        <v>77</v>
      </c>
      <c r="C197" t="s">
        <v>65</v>
      </c>
      <c r="D197">
        <v>1</v>
      </c>
      <c r="E197" t="s">
        <v>280</v>
      </c>
    </row>
    <row r="198" spans="1:5" x14ac:dyDescent="0.3">
      <c r="A198">
        <v>243</v>
      </c>
      <c r="B198" t="s">
        <v>4</v>
      </c>
      <c r="C198" t="s">
        <v>36</v>
      </c>
      <c r="D198">
        <v>0</v>
      </c>
      <c r="E198" t="s">
        <v>114</v>
      </c>
    </row>
    <row r="199" spans="1:5" x14ac:dyDescent="0.3">
      <c r="A199">
        <v>243</v>
      </c>
      <c r="B199" t="s">
        <v>7</v>
      </c>
      <c r="C199" t="s">
        <v>36</v>
      </c>
      <c r="D199">
        <v>24</v>
      </c>
      <c r="E199" t="s">
        <v>134</v>
      </c>
    </row>
    <row r="200" spans="1:5" x14ac:dyDescent="0.3">
      <c r="A200">
        <v>243</v>
      </c>
      <c r="B200" t="s">
        <v>6</v>
      </c>
      <c r="C200" t="s">
        <v>36</v>
      </c>
      <c r="D200">
        <v>28</v>
      </c>
      <c r="E200" t="s">
        <v>123</v>
      </c>
    </row>
    <row r="201" spans="1:5" x14ac:dyDescent="0.3">
      <c r="A201">
        <v>243</v>
      </c>
      <c r="B201" t="s">
        <v>19</v>
      </c>
      <c r="C201" t="s">
        <v>65</v>
      </c>
      <c r="D201">
        <v>2</v>
      </c>
      <c r="E201" t="s">
        <v>278</v>
      </c>
    </row>
    <row r="202" spans="1:5" x14ac:dyDescent="0.3">
      <c r="A202">
        <v>243</v>
      </c>
      <c r="B202" t="s">
        <v>76</v>
      </c>
      <c r="C202" t="s">
        <v>68</v>
      </c>
      <c r="D202">
        <v>1</v>
      </c>
      <c r="E202" t="s">
        <v>81</v>
      </c>
    </row>
    <row r="203" spans="1:5" x14ac:dyDescent="0.3">
      <c r="A203">
        <v>243</v>
      </c>
      <c r="B203" t="s">
        <v>78</v>
      </c>
      <c r="C203" t="s">
        <v>37</v>
      </c>
      <c r="D203">
        <v>1</v>
      </c>
      <c r="E203" t="s">
        <v>130</v>
      </c>
    </row>
    <row r="204" spans="1:5" x14ac:dyDescent="0.3">
      <c r="A204">
        <v>244</v>
      </c>
      <c r="B204" t="s">
        <v>4</v>
      </c>
      <c r="C204" t="s">
        <v>36</v>
      </c>
      <c r="D204">
        <v>0</v>
      </c>
      <c r="E204" t="s">
        <v>135</v>
      </c>
    </row>
    <row r="205" spans="1:5" x14ac:dyDescent="0.3">
      <c r="A205">
        <v>244</v>
      </c>
      <c r="B205" t="s">
        <v>6</v>
      </c>
      <c r="C205" t="s">
        <v>36</v>
      </c>
      <c r="D205">
        <v>43</v>
      </c>
      <c r="E205" t="s">
        <v>123</v>
      </c>
    </row>
    <row r="206" spans="1:5" x14ac:dyDescent="0.3">
      <c r="A206">
        <v>244</v>
      </c>
      <c r="B206" t="s">
        <v>7</v>
      </c>
      <c r="C206" t="s">
        <v>36</v>
      </c>
      <c r="D206">
        <v>43</v>
      </c>
      <c r="E206" t="s">
        <v>123</v>
      </c>
    </row>
    <row r="207" spans="1:5" x14ac:dyDescent="0.3">
      <c r="A207">
        <v>244</v>
      </c>
      <c r="B207" t="s">
        <v>23</v>
      </c>
      <c r="C207" t="s">
        <v>65</v>
      </c>
      <c r="D207">
        <v>5</v>
      </c>
      <c r="E207" t="s">
        <v>64</v>
      </c>
    </row>
    <row r="208" spans="1:5" x14ac:dyDescent="0.3">
      <c r="A208">
        <v>244</v>
      </c>
      <c r="B208" t="s">
        <v>78</v>
      </c>
      <c r="C208" t="s">
        <v>37</v>
      </c>
      <c r="D208">
        <v>1</v>
      </c>
      <c r="E208" t="s">
        <v>269</v>
      </c>
    </row>
    <row r="209" spans="1:5" x14ac:dyDescent="0.3">
      <c r="A209">
        <v>244</v>
      </c>
      <c r="B209" t="s">
        <v>77</v>
      </c>
      <c r="C209" t="s">
        <v>65</v>
      </c>
      <c r="D209">
        <v>2</v>
      </c>
      <c r="E209" t="s">
        <v>356</v>
      </c>
    </row>
    <row r="210" spans="1:5" x14ac:dyDescent="0.3">
      <c r="A210">
        <v>244</v>
      </c>
      <c r="B210" t="s">
        <v>33</v>
      </c>
      <c r="C210" t="s">
        <v>68</v>
      </c>
      <c r="D210">
        <v>1</v>
      </c>
      <c r="E210" t="s">
        <v>360</v>
      </c>
    </row>
    <row r="211" spans="1:5" x14ac:dyDescent="0.3">
      <c r="A211">
        <v>244</v>
      </c>
      <c r="B211" t="s">
        <v>14</v>
      </c>
      <c r="C211" t="s">
        <v>37</v>
      </c>
      <c r="D211">
        <v>42</v>
      </c>
      <c r="E211" t="s">
        <v>124</v>
      </c>
    </row>
    <row r="212" spans="1:5" x14ac:dyDescent="0.3">
      <c r="A212">
        <v>244</v>
      </c>
      <c r="B212" t="s">
        <v>20</v>
      </c>
      <c r="C212" t="s">
        <v>65</v>
      </c>
      <c r="D212">
        <v>0</v>
      </c>
      <c r="E212" t="s">
        <v>333</v>
      </c>
    </row>
    <row r="213" spans="1:5" x14ac:dyDescent="0.3">
      <c r="A213">
        <v>244</v>
      </c>
      <c r="B213" t="s">
        <v>24</v>
      </c>
      <c r="C213" t="s">
        <v>84</v>
      </c>
      <c r="D213">
        <v>3</v>
      </c>
      <c r="E213" t="s">
        <v>359</v>
      </c>
    </row>
    <row r="214" spans="1:5" x14ac:dyDescent="0.3">
      <c r="A214">
        <v>244</v>
      </c>
      <c r="B214" t="s">
        <v>5</v>
      </c>
      <c r="C214" t="s">
        <v>36</v>
      </c>
      <c r="D214">
        <v>1</v>
      </c>
      <c r="E214" t="s">
        <v>114</v>
      </c>
    </row>
    <row r="215" spans="1:5" x14ac:dyDescent="0.3">
      <c r="A215">
        <v>245</v>
      </c>
      <c r="B215" t="s">
        <v>28</v>
      </c>
      <c r="C215" t="s">
        <v>68</v>
      </c>
      <c r="D215">
        <v>3</v>
      </c>
      <c r="E215" t="s">
        <v>210</v>
      </c>
    </row>
    <row r="216" spans="1:5" x14ac:dyDescent="0.3">
      <c r="A216">
        <v>245</v>
      </c>
      <c r="B216" t="s">
        <v>6</v>
      </c>
      <c r="C216" t="s">
        <v>36</v>
      </c>
      <c r="D216">
        <v>31</v>
      </c>
      <c r="E216" t="s">
        <v>123</v>
      </c>
    </row>
    <row r="217" spans="1:5" x14ac:dyDescent="0.3">
      <c r="A217">
        <v>245</v>
      </c>
      <c r="B217" t="s">
        <v>7</v>
      </c>
      <c r="C217" t="s">
        <v>36</v>
      </c>
      <c r="D217">
        <v>31</v>
      </c>
      <c r="E217" t="s">
        <v>123</v>
      </c>
    </row>
    <row r="218" spans="1:5" x14ac:dyDescent="0.3">
      <c r="A218">
        <v>245</v>
      </c>
      <c r="B218" t="s">
        <v>4</v>
      </c>
      <c r="C218" t="s">
        <v>36</v>
      </c>
      <c r="D218">
        <v>0</v>
      </c>
      <c r="E218" t="s">
        <v>114</v>
      </c>
    </row>
    <row r="219" spans="1:5" x14ac:dyDescent="0.3">
      <c r="A219">
        <v>245</v>
      </c>
      <c r="B219" t="s">
        <v>78</v>
      </c>
      <c r="C219" t="s">
        <v>37</v>
      </c>
      <c r="D219">
        <v>1</v>
      </c>
      <c r="E219" t="s">
        <v>124</v>
      </c>
    </row>
    <row r="220" spans="1:5" x14ac:dyDescent="0.3">
      <c r="A220">
        <v>245</v>
      </c>
      <c r="B220" t="s">
        <v>76</v>
      </c>
      <c r="C220" t="s">
        <v>68</v>
      </c>
      <c r="D220">
        <v>1</v>
      </c>
      <c r="E220" t="s">
        <v>209</v>
      </c>
    </row>
    <row r="221" spans="1:5" x14ac:dyDescent="0.3">
      <c r="A221">
        <v>245</v>
      </c>
      <c r="B221" t="s">
        <v>77</v>
      </c>
      <c r="C221" t="s">
        <v>65</v>
      </c>
      <c r="D221">
        <v>1</v>
      </c>
      <c r="E221" t="s">
        <v>206</v>
      </c>
    </row>
    <row r="222" spans="1:5" x14ac:dyDescent="0.3">
      <c r="A222">
        <v>245</v>
      </c>
      <c r="B222" t="s">
        <v>20</v>
      </c>
      <c r="C222" t="s">
        <v>65</v>
      </c>
      <c r="D222">
        <v>-2</v>
      </c>
      <c r="E222" t="s">
        <v>87</v>
      </c>
    </row>
    <row r="223" spans="1:5" x14ac:dyDescent="0.3">
      <c r="A223">
        <v>245</v>
      </c>
      <c r="B223" t="s">
        <v>74</v>
      </c>
      <c r="C223" t="s">
        <v>65</v>
      </c>
      <c r="D223">
        <v>1</v>
      </c>
      <c r="E223" t="s">
        <v>194</v>
      </c>
    </row>
    <row r="224" spans="1:5" x14ac:dyDescent="0.3">
      <c r="A224">
        <v>245</v>
      </c>
      <c r="B224" t="s">
        <v>21</v>
      </c>
      <c r="C224" t="s">
        <v>65</v>
      </c>
      <c r="D224">
        <v>8</v>
      </c>
      <c r="E224" t="s">
        <v>193</v>
      </c>
    </row>
    <row r="225" spans="1:5" x14ac:dyDescent="0.3">
      <c r="A225">
        <v>245</v>
      </c>
      <c r="B225" t="s">
        <v>5</v>
      </c>
      <c r="C225" t="s">
        <v>36</v>
      </c>
      <c r="D225">
        <v>1</v>
      </c>
      <c r="E225" t="s">
        <v>114</v>
      </c>
    </row>
    <row r="226" spans="1:5" x14ac:dyDescent="0.3">
      <c r="A226">
        <v>245</v>
      </c>
      <c r="B226" t="s">
        <v>19</v>
      </c>
      <c r="C226" t="s">
        <v>65</v>
      </c>
      <c r="D226">
        <v>4</v>
      </c>
      <c r="E226" t="s">
        <v>87</v>
      </c>
    </row>
    <row r="227" spans="1:5" x14ac:dyDescent="0.3">
      <c r="A227">
        <v>245</v>
      </c>
      <c r="B227" t="s">
        <v>31</v>
      </c>
      <c r="C227" t="s">
        <v>68</v>
      </c>
      <c r="D227">
        <v>0</v>
      </c>
      <c r="E227" t="s">
        <v>208</v>
      </c>
    </row>
    <row r="228" spans="1:5" x14ac:dyDescent="0.3">
      <c r="A228">
        <v>246</v>
      </c>
      <c r="B228" t="s">
        <v>77</v>
      </c>
      <c r="C228" t="s">
        <v>65</v>
      </c>
      <c r="D228">
        <v>1</v>
      </c>
      <c r="E228" t="s">
        <v>167</v>
      </c>
    </row>
    <row r="229" spans="1:5" x14ac:dyDescent="0.3">
      <c r="A229">
        <v>246</v>
      </c>
      <c r="B229" t="s">
        <v>20</v>
      </c>
      <c r="C229" t="s">
        <v>65</v>
      </c>
      <c r="D229">
        <v>7</v>
      </c>
      <c r="E229" t="s">
        <v>168</v>
      </c>
    </row>
    <row r="230" spans="1:5" x14ac:dyDescent="0.3">
      <c r="A230">
        <v>246</v>
      </c>
      <c r="B230" t="s">
        <v>76</v>
      </c>
      <c r="C230" t="s">
        <v>68</v>
      </c>
      <c r="D230">
        <v>1</v>
      </c>
      <c r="E230" t="s">
        <v>185</v>
      </c>
    </row>
    <row r="231" spans="1:5" x14ac:dyDescent="0.3">
      <c r="A231">
        <v>246</v>
      </c>
      <c r="B231" t="s">
        <v>78</v>
      </c>
      <c r="C231" t="s">
        <v>37</v>
      </c>
      <c r="D231">
        <v>2</v>
      </c>
      <c r="E231" t="s">
        <v>182</v>
      </c>
    </row>
    <row r="232" spans="1:5" x14ac:dyDescent="0.3">
      <c r="A232">
        <v>246</v>
      </c>
      <c r="B232" t="s">
        <v>74</v>
      </c>
      <c r="C232" t="s">
        <v>65</v>
      </c>
      <c r="D232">
        <v>10</v>
      </c>
      <c r="E232" t="s">
        <v>163</v>
      </c>
    </row>
    <row r="233" spans="1:5" x14ac:dyDescent="0.3">
      <c r="A233">
        <v>246</v>
      </c>
      <c r="B233" t="s">
        <v>35</v>
      </c>
      <c r="C233" t="s">
        <v>68</v>
      </c>
      <c r="D233">
        <v>0</v>
      </c>
      <c r="E233" t="s">
        <v>164</v>
      </c>
    </row>
    <row r="234" spans="1:5" x14ac:dyDescent="0.3">
      <c r="A234">
        <v>246</v>
      </c>
      <c r="B234" t="s">
        <v>7</v>
      </c>
      <c r="C234" t="s">
        <v>36</v>
      </c>
      <c r="D234">
        <v>14</v>
      </c>
      <c r="E234" t="s">
        <v>136</v>
      </c>
    </row>
    <row r="235" spans="1:5" x14ac:dyDescent="0.3">
      <c r="A235">
        <v>246</v>
      </c>
      <c r="B235" t="s">
        <v>15</v>
      </c>
      <c r="C235" t="s">
        <v>37</v>
      </c>
      <c r="D235">
        <v>2</v>
      </c>
      <c r="E235" t="s">
        <v>150</v>
      </c>
    </row>
    <row r="236" spans="1:5" x14ac:dyDescent="0.3">
      <c r="A236">
        <v>246</v>
      </c>
      <c r="B236" t="s">
        <v>28</v>
      </c>
      <c r="C236" t="s">
        <v>68</v>
      </c>
      <c r="D236">
        <v>8</v>
      </c>
      <c r="E236" t="s">
        <v>184</v>
      </c>
    </row>
    <row r="237" spans="1:5" x14ac:dyDescent="0.3">
      <c r="A237">
        <v>246</v>
      </c>
      <c r="B237" t="s">
        <v>21</v>
      </c>
      <c r="C237" t="s">
        <v>65</v>
      </c>
      <c r="D237">
        <v>10</v>
      </c>
      <c r="E237" t="s">
        <v>158</v>
      </c>
    </row>
    <row r="238" spans="1:5" x14ac:dyDescent="0.3">
      <c r="A238">
        <v>246</v>
      </c>
      <c r="B238" t="s">
        <v>19</v>
      </c>
      <c r="C238" t="s">
        <v>65</v>
      </c>
      <c r="D238">
        <v>3</v>
      </c>
      <c r="E238" t="s">
        <v>157</v>
      </c>
    </row>
    <row r="239" spans="1:5" x14ac:dyDescent="0.3">
      <c r="A239">
        <v>246</v>
      </c>
      <c r="B239" t="s">
        <v>26</v>
      </c>
      <c r="C239" t="s">
        <v>84</v>
      </c>
      <c r="D239">
        <v>2</v>
      </c>
      <c r="E239" t="s">
        <v>195</v>
      </c>
    </row>
    <row r="240" spans="1:5" x14ac:dyDescent="0.3">
      <c r="A240">
        <v>246</v>
      </c>
      <c r="B240" t="s">
        <v>24</v>
      </c>
      <c r="C240" t="s">
        <v>84</v>
      </c>
      <c r="D240">
        <v>4</v>
      </c>
      <c r="E240" t="s">
        <v>169</v>
      </c>
    </row>
    <row r="241" spans="1:5" x14ac:dyDescent="0.3">
      <c r="A241">
        <v>246</v>
      </c>
      <c r="B241" t="s">
        <v>75</v>
      </c>
      <c r="C241" t="s">
        <v>65</v>
      </c>
      <c r="D241">
        <v>7</v>
      </c>
      <c r="E241" t="s">
        <v>157</v>
      </c>
    </row>
    <row r="242" spans="1:5" x14ac:dyDescent="0.3">
      <c r="A242">
        <v>246</v>
      </c>
      <c r="B242" t="s">
        <v>6</v>
      </c>
      <c r="C242" t="s">
        <v>36</v>
      </c>
      <c r="D242">
        <v>15</v>
      </c>
      <c r="E242" t="s">
        <v>123</v>
      </c>
    </row>
    <row r="243" spans="1:5" x14ac:dyDescent="0.3">
      <c r="A243">
        <v>246</v>
      </c>
      <c r="B243" t="s">
        <v>17</v>
      </c>
      <c r="C243" t="s">
        <v>37</v>
      </c>
      <c r="D243">
        <v>2</v>
      </c>
      <c r="E243" t="s">
        <v>81</v>
      </c>
    </row>
    <row r="244" spans="1:5" x14ac:dyDescent="0.3">
      <c r="A244">
        <v>247</v>
      </c>
      <c r="B244" t="s">
        <v>28</v>
      </c>
      <c r="C244" t="s">
        <v>68</v>
      </c>
      <c r="D244">
        <v>0</v>
      </c>
      <c r="E244" t="s">
        <v>159</v>
      </c>
    </row>
    <row r="245" spans="1:5" x14ac:dyDescent="0.3">
      <c r="A245">
        <v>247</v>
      </c>
      <c r="B245" t="s">
        <v>26</v>
      </c>
      <c r="C245" t="s">
        <v>84</v>
      </c>
      <c r="D245">
        <v>0</v>
      </c>
      <c r="E245" t="s">
        <v>186</v>
      </c>
    </row>
    <row r="246" spans="1:5" x14ac:dyDescent="0.3">
      <c r="A246">
        <v>247</v>
      </c>
      <c r="B246" t="s">
        <v>6</v>
      </c>
      <c r="C246" t="s">
        <v>36</v>
      </c>
      <c r="D246">
        <v>8</v>
      </c>
      <c r="E246" t="s">
        <v>81</v>
      </c>
    </row>
    <row r="247" spans="1:5" x14ac:dyDescent="0.3">
      <c r="A247">
        <v>247</v>
      </c>
      <c r="B247" t="s">
        <v>7</v>
      </c>
      <c r="C247" t="s">
        <v>36</v>
      </c>
      <c r="D247">
        <v>8</v>
      </c>
      <c r="E247" t="s">
        <v>81</v>
      </c>
    </row>
    <row r="248" spans="1:5" x14ac:dyDescent="0.3">
      <c r="A248">
        <v>247</v>
      </c>
      <c r="B248" t="s">
        <v>4</v>
      </c>
      <c r="C248" t="s">
        <v>36</v>
      </c>
      <c r="D248">
        <v>0</v>
      </c>
      <c r="E248" t="s">
        <v>94</v>
      </c>
    </row>
    <row r="249" spans="1:5" x14ac:dyDescent="0.3">
      <c r="A249">
        <v>247</v>
      </c>
      <c r="B249" t="s">
        <v>5</v>
      </c>
      <c r="C249" t="s">
        <v>36</v>
      </c>
      <c r="D249">
        <v>0</v>
      </c>
      <c r="E249" t="s">
        <v>114</v>
      </c>
    </row>
    <row r="250" spans="1:5" x14ac:dyDescent="0.3">
      <c r="A250">
        <v>247</v>
      </c>
      <c r="B250" t="s">
        <v>10</v>
      </c>
      <c r="C250" t="s">
        <v>37</v>
      </c>
      <c r="D250">
        <v>2</v>
      </c>
      <c r="E250" t="s">
        <v>164</v>
      </c>
    </row>
    <row r="251" spans="1:5" x14ac:dyDescent="0.3">
      <c r="A251">
        <v>247</v>
      </c>
      <c r="B251" t="s">
        <v>19</v>
      </c>
      <c r="C251" t="s">
        <v>65</v>
      </c>
      <c r="D251">
        <v>6</v>
      </c>
      <c r="E251" t="s">
        <v>144</v>
      </c>
    </row>
    <row r="252" spans="1:5" x14ac:dyDescent="0.3">
      <c r="A252">
        <v>247</v>
      </c>
      <c r="B252" t="s">
        <v>20</v>
      </c>
      <c r="C252" t="s">
        <v>65</v>
      </c>
      <c r="D252">
        <v>1</v>
      </c>
      <c r="E252" t="s">
        <v>159</v>
      </c>
    </row>
    <row r="253" spans="1:5" x14ac:dyDescent="0.3">
      <c r="A253">
        <v>247</v>
      </c>
      <c r="B253" t="s">
        <v>33</v>
      </c>
      <c r="C253" t="s">
        <v>68</v>
      </c>
      <c r="D253">
        <v>1</v>
      </c>
      <c r="E253" t="s">
        <v>103</v>
      </c>
    </row>
    <row r="254" spans="1:5" x14ac:dyDescent="0.3">
      <c r="A254">
        <v>247</v>
      </c>
      <c r="B254" t="s">
        <v>23</v>
      </c>
      <c r="C254" t="s">
        <v>65</v>
      </c>
      <c r="D254">
        <v>2</v>
      </c>
      <c r="E254" t="s">
        <v>159</v>
      </c>
    </row>
    <row r="255" spans="1:5" x14ac:dyDescent="0.3">
      <c r="A255">
        <v>247</v>
      </c>
      <c r="B255" t="s">
        <v>76</v>
      </c>
      <c r="C255" t="s">
        <v>68</v>
      </c>
      <c r="D255">
        <v>1</v>
      </c>
      <c r="E255" t="s">
        <v>159</v>
      </c>
    </row>
    <row r="256" spans="1:5" x14ac:dyDescent="0.3">
      <c r="A256">
        <v>247</v>
      </c>
      <c r="B256" t="s">
        <v>27</v>
      </c>
      <c r="C256" t="s">
        <v>84</v>
      </c>
      <c r="D256">
        <v>0</v>
      </c>
      <c r="E256" t="s">
        <v>124</v>
      </c>
    </row>
    <row r="257" spans="1:5" x14ac:dyDescent="0.3">
      <c r="A257">
        <v>247</v>
      </c>
      <c r="B257" t="s">
        <v>80</v>
      </c>
      <c r="C257" t="s">
        <v>68</v>
      </c>
      <c r="D257">
        <v>15</v>
      </c>
      <c r="E257" t="s">
        <v>197</v>
      </c>
    </row>
    <row r="258" spans="1:5" x14ac:dyDescent="0.3">
      <c r="A258">
        <v>247</v>
      </c>
      <c r="B258" t="s">
        <v>35</v>
      </c>
      <c r="C258" t="s">
        <v>68</v>
      </c>
      <c r="D258">
        <v>0</v>
      </c>
      <c r="E258" t="s">
        <v>196</v>
      </c>
    </row>
    <row r="259" spans="1:5" x14ac:dyDescent="0.3">
      <c r="A259">
        <v>247</v>
      </c>
      <c r="B259" t="s">
        <v>74</v>
      </c>
      <c r="C259" t="s">
        <v>65</v>
      </c>
      <c r="D259">
        <v>3</v>
      </c>
      <c r="E259" t="s">
        <v>159</v>
      </c>
    </row>
    <row r="260" spans="1:5" x14ac:dyDescent="0.3">
      <c r="A260">
        <v>247</v>
      </c>
      <c r="B260" t="s">
        <v>77</v>
      </c>
      <c r="C260" t="s">
        <v>65</v>
      </c>
      <c r="D260">
        <v>2</v>
      </c>
      <c r="E260" t="s">
        <v>81</v>
      </c>
    </row>
    <row r="261" spans="1:5" x14ac:dyDescent="0.3">
      <c r="A261">
        <v>247</v>
      </c>
      <c r="B261" t="s">
        <v>78</v>
      </c>
      <c r="C261" t="s">
        <v>37</v>
      </c>
      <c r="D261">
        <v>1</v>
      </c>
      <c r="E261" t="s">
        <v>124</v>
      </c>
    </row>
    <row r="262" spans="1:5" x14ac:dyDescent="0.3">
      <c r="A262">
        <v>247</v>
      </c>
      <c r="B262" t="s">
        <v>21</v>
      </c>
      <c r="C262" t="s">
        <v>65</v>
      </c>
      <c r="D262">
        <v>24</v>
      </c>
      <c r="E262" t="s">
        <v>170</v>
      </c>
    </row>
    <row r="263" spans="1:5" x14ac:dyDescent="0.3">
      <c r="A263">
        <v>248</v>
      </c>
      <c r="B263" t="s">
        <v>74</v>
      </c>
      <c r="C263" t="s">
        <v>65</v>
      </c>
      <c r="D263">
        <v>2</v>
      </c>
      <c r="E263" t="s">
        <v>188</v>
      </c>
    </row>
    <row r="264" spans="1:5" x14ac:dyDescent="0.3">
      <c r="A264">
        <v>248</v>
      </c>
      <c r="B264" t="s">
        <v>75</v>
      </c>
      <c r="C264" t="s">
        <v>65</v>
      </c>
      <c r="D264">
        <v>2</v>
      </c>
      <c r="E264" t="s">
        <v>181</v>
      </c>
    </row>
    <row r="265" spans="1:5" x14ac:dyDescent="0.3">
      <c r="A265">
        <v>248</v>
      </c>
      <c r="B265" t="s">
        <v>6</v>
      </c>
      <c r="C265" t="s">
        <v>36</v>
      </c>
      <c r="D265">
        <v>6</v>
      </c>
      <c r="E265" t="s">
        <v>81</v>
      </c>
    </row>
    <row r="266" spans="1:5" x14ac:dyDescent="0.3">
      <c r="A266">
        <v>248</v>
      </c>
      <c r="B266" t="s">
        <v>7</v>
      </c>
      <c r="C266" t="s">
        <v>36</v>
      </c>
      <c r="D266">
        <v>6</v>
      </c>
      <c r="E266" t="s">
        <v>81</v>
      </c>
    </row>
    <row r="267" spans="1:5" x14ac:dyDescent="0.3">
      <c r="A267">
        <v>248</v>
      </c>
      <c r="B267" t="s">
        <v>9</v>
      </c>
      <c r="C267" t="s">
        <v>37</v>
      </c>
      <c r="D267">
        <v>3</v>
      </c>
      <c r="E267" t="s">
        <v>153</v>
      </c>
    </row>
    <row r="268" spans="1:5" x14ac:dyDescent="0.3">
      <c r="A268">
        <v>248</v>
      </c>
      <c r="B268" t="s">
        <v>10</v>
      </c>
      <c r="C268" t="s">
        <v>37</v>
      </c>
      <c r="D268">
        <v>12</v>
      </c>
      <c r="E268" t="s">
        <v>172</v>
      </c>
    </row>
    <row r="269" spans="1:5" x14ac:dyDescent="0.3">
      <c r="A269">
        <v>248</v>
      </c>
      <c r="B269" t="s">
        <v>12</v>
      </c>
      <c r="C269" t="s">
        <v>37</v>
      </c>
      <c r="D269">
        <v>3</v>
      </c>
      <c r="E269" t="s">
        <v>159</v>
      </c>
    </row>
    <row r="270" spans="1:5" x14ac:dyDescent="0.3">
      <c r="A270">
        <v>248</v>
      </c>
      <c r="B270" t="s">
        <v>78</v>
      </c>
      <c r="C270" t="s">
        <v>37</v>
      </c>
      <c r="D270">
        <v>1</v>
      </c>
      <c r="E270" t="s">
        <v>171</v>
      </c>
    </row>
    <row r="271" spans="1:5" x14ac:dyDescent="0.3">
      <c r="A271">
        <v>248</v>
      </c>
      <c r="B271" t="s">
        <v>21</v>
      </c>
      <c r="C271" t="s">
        <v>65</v>
      </c>
      <c r="D271">
        <v>4</v>
      </c>
      <c r="E271" t="s">
        <v>180</v>
      </c>
    </row>
    <row r="272" spans="1:5" x14ac:dyDescent="0.3">
      <c r="A272">
        <v>248</v>
      </c>
      <c r="B272" t="s">
        <v>24</v>
      </c>
      <c r="C272" t="s">
        <v>84</v>
      </c>
      <c r="D272">
        <v>3</v>
      </c>
      <c r="E272" t="s">
        <v>185</v>
      </c>
    </row>
    <row r="273" spans="1:5" x14ac:dyDescent="0.3">
      <c r="A273">
        <v>248</v>
      </c>
      <c r="B273" t="s">
        <v>27</v>
      </c>
      <c r="C273" t="s">
        <v>84</v>
      </c>
      <c r="D273">
        <v>0</v>
      </c>
      <c r="E273" t="s">
        <v>124</v>
      </c>
    </row>
    <row r="274" spans="1:5" x14ac:dyDescent="0.3">
      <c r="A274">
        <v>248</v>
      </c>
      <c r="B274" t="s">
        <v>33</v>
      </c>
      <c r="C274" t="s">
        <v>68</v>
      </c>
      <c r="D274">
        <v>1</v>
      </c>
      <c r="E274" t="s">
        <v>103</v>
      </c>
    </row>
    <row r="275" spans="1:5" x14ac:dyDescent="0.3">
      <c r="A275">
        <v>248</v>
      </c>
      <c r="B275" t="s">
        <v>35</v>
      </c>
      <c r="C275" t="s">
        <v>68</v>
      </c>
      <c r="D275">
        <v>5</v>
      </c>
      <c r="E275" t="s">
        <v>211</v>
      </c>
    </row>
    <row r="276" spans="1:5" x14ac:dyDescent="0.3">
      <c r="A276">
        <v>248</v>
      </c>
      <c r="B276" t="s">
        <v>38</v>
      </c>
      <c r="C276" t="s">
        <v>68</v>
      </c>
      <c r="D276">
        <v>1</v>
      </c>
      <c r="E276" t="s">
        <v>212</v>
      </c>
    </row>
    <row r="277" spans="1:5" x14ac:dyDescent="0.3">
      <c r="A277">
        <v>248</v>
      </c>
      <c r="B277" t="s">
        <v>76</v>
      </c>
      <c r="C277" t="s">
        <v>68</v>
      </c>
      <c r="D277">
        <v>1</v>
      </c>
      <c r="E277" t="s">
        <v>198</v>
      </c>
    </row>
    <row r="278" spans="1:5" x14ac:dyDescent="0.3">
      <c r="A278">
        <v>248</v>
      </c>
      <c r="B278" t="s">
        <v>77</v>
      </c>
      <c r="C278" t="s">
        <v>65</v>
      </c>
      <c r="D278">
        <v>2</v>
      </c>
      <c r="E278" t="s">
        <v>187</v>
      </c>
    </row>
    <row r="279" spans="1:5" x14ac:dyDescent="0.3">
      <c r="A279">
        <v>248</v>
      </c>
      <c r="B279" t="s">
        <v>19</v>
      </c>
      <c r="C279" t="s">
        <v>65</v>
      </c>
      <c r="D279">
        <v>2</v>
      </c>
      <c r="E279" t="s">
        <v>180</v>
      </c>
    </row>
    <row r="280" spans="1:5" x14ac:dyDescent="0.3">
      <c r="A280">
        <v>249</v>
      </c>
      <c r="B280" t="s">
        <v>26</v>
      </c>
      <c r="C280" t="s">
        <v>84</v>
      </c>
      <c r="D280">
        <v>1</v>
      </c>
      <c r="E280" t="s">
        <v>200</v>
      </c>
    </row>
    <row r="281" spans="1:5" x14ac:dyDescent="0.3">
      <c r="A281">
        <v>249</v>
      </c>
      <c r="B281" t="s">
        <v>78</v>
      </c>
      <c r="C281" t="s">
        <v>37</v>
      </c>
      <c r="D281">
        <v>31</v>
      </c>
      <c r="E281" t="s">
        <v>213</v>
      </c>
    </row>
    <row r="282" spans="1:5" x14ac:dyDescent="0.3">
      <c r="A282">
        <v>249</v>
      </c>
      <c r="B282" t="s">
        <v>77</v>
      </c>
      <c r="C282" t="s">
        <v>65</v>
      </c>
      <c r="D282">
        <v>4</v>
      </c>
      <c r="E282" t="s">
        <v>202</v>
      </c>
    </row>
    <row r="283" spans="1:5" x14ac:dyDescent="0.3">
      <c r="A283">
        <v>249</v>
      </c>
      <c r="B283" t="s">
        <v>74</v>
      </c>
      <c r="C283" t="s">
        <v>65</v>
      </c>
      <c r="D283">
        <v>9</v>
      </c>
      <c r="E283" t="s">
        <v>201</v>
      </c>
    </row>
    <row r="284" spans="1:5" x14ac:dyDescent="0.3">
      <c r="A284">
        <v>249</v>
      </c>
      <c r="B284" t="s">
        <v>38</v>
      </c>
      <c r="C284" t="s">
        <v>68</v>
      </c>
      <c r="D284">
        <v>0</v>
      </c>
      <c r="E284" t="s">
        <v>214</v>
      </c>
    </row>
    <row r="285" spans="1:5" x14ac:dyDescent="0.3">
      <c r="A285">
        <v>249</v>
      </c>
      <c r="B285" t="s">
        <v>28</v>
      </c>
      <c r="C285" t="s">
        <v>68</v>
      </c>
      <c r="D285">
        <v>6</v>
      </c>
      <c r="E285" t="s">
        <v>216</v>
      </c>
    </row>
    <row r="286" spans="1:5" x14ac:dyDescent="0.3">
      <c r="A286">
        <v>249</v>
      </c>
      <c r="B286" t="s">
        <v>76</v>
      </c>
      <c r="C286" t="s">
        <v>68</v>
      </c>
      <c r="D286">
        <v>1</v>
      </c>
      <c r="E286" t="s">
        <v>217</v>
      </c>
    </row>
    <row r="287" spans="1:5" x14ac:dyDescent="0.3">
      <c r="A287">
        <v>249</v>
      </c>
      <c r="B287" t="s">
        <v>23</v>
      </c>
      <c r="C287" t="s">
        <v>65</v>
      </c>
      <c r="D287">
        <v>3</v>
      </c>
      <c r="E287" t="s">
        <v>199</v>
      </c>
    </row>
    <row r="288" spans="1:5" x14ac:dyDescent="0.3">
      <c r="A288">
        <v>249</v>
      </c>
      <c r="B288" t="s">
        <v>19</v>
      </c>
      <c r="C288" t="s">
        <v>65</v>
      </c>
      <c r="D288">
        <v>6</v>
      </c>
      <c r="E288" t="s">
        <v>189</v>
      </c>
    </row>
    <row r="289" spans="1:5" x14ac:dyDescent="0.3">
      <c r="A289">
        <v>249</v>
      </c>
      <c r="B289" t="s">
        <v>12</v>
      </c>
      <c r="C289" t="s">
        <v>37</v>
      </c>
      <c r="D289">
        <v>3</v>
      </c>
      <c r="E289" t="s">
        <v>173</v>
      </c>
    </row>
    <row r="290" spans="1:5" x14ac:dyDescent="0.3">
      <c r="A290">
        <v>249</v>
      </c>
      <c r="B290" t="s">
        <v>7</v>
      </c>
      <c r="C290" t="s">
        <v>36</v>
      </c>
      <c r="D290">
        <v>9</v>
      </c>
      <c r="E290" t="s">
        <v>81</v>
      </c>
    </row>
    <row r="291" spans="1:5" x14ac:dyDescent="0.3">
      <c r="A291">
        <v>249</v>
      </c>
      <c r="B291" t="s">
        <v>6</v>
      </c>
      <c r="C291" t="s">
        <v>36</v>
      </c>
      <c r="D291">
        <v>9</v>
      </c>
      <c r="E291" t="s">
        <v>81</v>
      </c>
    </row>
    <row r="292" spans="1:5" x14ac:dyDescent="0.3">
      <c r="A292">
        <v>249</v>
      </c>
      <c r="B292" t="s">
        <v>80</v>
      </c>
      <c r="C292" t="s">
        <v>68</v>
      </c>
      <c r="D292">
        <v>7</v>
      </c>
      <c r="E292" t="s">
        <v>215</v>
      </c>
    </row>
    <row r="293" spans="1:5" x14ac:dyDescent="0.3">
      <c r="A293">
        <v>250</v>
      </c>
      <c r="B293" t="s">
        <v>77</v>
      </c>
      <c r="C293" t="s">
        <v>65</v>
      </c>
      <c r="D293">
        <v>1</v>
      </c>
      <c r="E293" t="s">
        <v>218</v>
      </c>
    </row>
    <row r="294" spans="1:5" x14ac:dyDescent="0.3">
      <c r="A294">
        <v>250</v>
      </c>
      <c r="B294" t="s">
        <v>74</v>
      </c>
      <c r="C294" t="s">
        <v>65</v>
      </c>
      <c r="D294">
        <v>5</v>
      </c>
      <c r="E294" t="s">
        <v>219</v>
      </c>
    </row>
    <row r="295" spans="1:5" x14ac:dyDescent="0.3">
      <c r="A295">
        <v>250</v>
      </c>
      <c r="B295" t="s">
        <v>35</v>
      </c>
      <c r="C295" t="s">
        <v>68</v>
      </c>
      <c r="D295">
        <v>1</v>
      </c>
      <c r="E295" t="s">
        <v>236</v>
      </c>
    </row>
    <row r="296" spans="1:5" x14ac:dyDescent="0.3">
      <c r="A296">
        <v>250</v>
      </c>
      <c r="B296" t="s">
        <v>26</v>
      </c>
      <c r="C296" t="s">
        <v>84</v>
      </c>
      <c r="D296">
        <v>1</v>
      </c>
      <c r="E296" t="s">
        <v>114</v>
      </c>
    </row>
    <row r="297" spans="1:5" x14ac:dyDescent="0.3">
      <c r="A297">
        <v>250</v>
      </c>
      <c r="B297" t="s">
        <v>24</v>
      </c>
      <c r="C297" t="s">
        <v>84</v>
      </c>
      <c r="D297">
        <v>2</v>
      </c>
      <c r="E297" t="s">
        <v>220</v>
      </c>
    </row>
    <row r="298" spans="1:5" x14ac:dyDescent="0.3">
      <c r="A298">
        <v>250</v>
      </c>
      <c r="B298" t="s">
        <v>20</v>
      </c>
      <c r="C298" t="s">
        <v>65</v>
      </c>
      <c r="D298">
        <v>5</v>
      </c>
      <c r="E298" t="s">
        <v>221</v>
      </c>
    </row>
    <row r="299" spans="1:5" x14ac:dyDescent="0.3">
      <c r="A299">
        <v>250</v>
      </c>
      <c r="B299" t="s">
        <v>76</v>
      </c>
      <c r="C299" t="s">
        <v>68</v>
      </c>
      <c r="D299">
        <v>1</v>
      </c>
      <c r="E299" t="s">
        <v>217</v>
      </c>
    </row>
    <row r="300" spans="1:5" x14ac:dyDescent="0.3">
      <c r="A300">
        <v>250</v>
      </c>
      <c r="B300" t="s">
        <v>19</v>
      </c>
      <c r="C300" t="s">
        <v>65</v>
      </c>
      <c r="D300">
        <v>1</v>
      </c>
      <c r="E300" t="s">
        <v>222</v>
      </c>
    </row>
    <row r="301" spans="1:5" x14ac:dyDescent="0.3">
      <c r="A301">
        <v>250</v>
      </c>
      <c r="B301" t="s">
        <v>5</v>
      </c>
      <c r="C301" t="s">
        <v>36</v>
      </c>
      <c r="D301">
        <v>0</v>
      </c>
      <c r="E301" t="s">
        <v>174</v>
      </c>
    </row>
    <row r="302" spans="1:5" x14ac:dyDescent="0.3">
      <c r="A302">
        <v>250</v>
      </c>
      <c r="B302" t="s">
        <v>7</v>
      </c>
      <c r="C302" t="s">
        <v>36</v>
      </c>
      <c r="D302">
        <v>7</v>
      </c>
      <c r="E302" t="s">
        <v>165</v>
      </c>
    </row>
    <row r="303" spans="1:5" x14ac:dyDescent="0.3">
      <c r="A303">
        <v>250</v>
      </c>
      <c r="B303" t="s">
        <v>6</v>
      </c>
      <c r="C303" t="s">
        <v>36</v>
      </c>
      <c r="D303">
        <v>7</v>
      </c>
      <c r="E303" t="s">
        <v>165</v>
      </c>
    </row>
    <row r="304" spans="1:5" x14ac:dyDescent="0.3">
      <c r="A304">
        <v>250</v>
      </c>
      <c r="B304" t="s">
        <v>78</v>
      </c>
      <c r="C304" t="s">
        <v>37</v>
      </c>
      <c r="D304">
        <v>1</v>
      </c>
      <c r="E304" t="s">
        <v>103</v>
      </c>
    </row>
    <row r="305" spans="1:5" x14ac:dyDescent="0.3">
      <c r="A305">
        <v>251</v>
      </c>
      <c r="B305" t="s">
        <v>33</v>
      </c>
      <c r="C305" t="s">
        <v>68</v>
      </c>
      <c r="D305">
        <v>1</v>
      </c>
      <c r="E305" t="s">
        <v>124</v>
      </c>
    </row>
    <row r="306" spans="1:5" x14ac:dyDescent="0.3">
      <c r="A306">
        <v>251</v>
      </c>
      <c r="B306" t="s">
        <v>74</v>
      </c>
      <c r="C306" t="s">
        <v>65</v>
      </c>
      <c r="D306">
        <v>2</v>
      </c>
      <c r="E306" t="s">
        <v>243</v>
      </c>
    </row>
    <row r="307" spans="1:5" x14ac:dyDescent="0.3">
      <c r="A307">
        <v>251</v>
      </c>
      <c r="B307" t="s">
        <v>77</v>
      </c>
      <c r="C307" t="s">
        <v>65</v>
      </c>
      <c r="D307">
        <v>4</v>
      </c>
      <c r="E307" t="s">
        <v>242</v>
      </c>
    </row>
    <row r="308" spans="1:5" x14ac:dyDescent="0.3">
      <c r="A308">
        <v>251</v>
      </c>
      <c r="B308" t="s">
        <v>12</v>
      </c>
      <c r="C308" t="s">
        <v>37</v>
      </c>
      <c r="D308">
        <v>0</v>
      </c>
      <c r="E308" t="s">
        <v>159</v>
      </c>
    </row>
    <row r="309" spans="1:5" x14ac:dyDescent="0.3">
      <c r="A309">
        <v>251</v>
      </c>
      <c r="B309" t="s">
        <v>23</v>
      </c>
      <c r="C309" t="s">
        <v>65</v>
      </c>
      <c r="D309">
        <v>2</v>
      </c>
      <c r="E309" t="s">
        <v>241</v>
      </c>
    </row>
    <row r="310" spans="1:5" x14ac:dyDescent="0.3">
      <c r="A310">
        <v>251</v>
      </c>
      <c r="B310" t="s">
        <v>24</v>
      </c>
      <c r="C310" t="s">
        <v>84</v>
      </c>
      <c r="D310">
        <v>2</v>
      </c>
      <c r="E310" t="s">
        <v>244</v>
      </c>
    </row>
    <row r="311" spans="1:5" x14ac:dyDescent="0.3">
      <c r="A311">
        <v>251</v>
      </c>
      <c r="B311" t="s">
        <v>27</v>
      </c>
      <c r="C311" t="s">
        <v>84</v>
      </c>
      <c r="D311">
        <v>5</v>
      </c>
      <c r="E311" t="s">
        <v>266</v>
      </c>
    </row>
    <row r="312" spans="1:5" x14ac:dyDescent="0.3">
      <c r="A312">
        <v>251</v>
      </c>
      <c r="B312" t="s">
        <v>80</v>
      </c>
      <c r="C312" t="s">
        <v>68</v>
      </c>
      <c r="D312">
        <v>23</v>
      </c>
      <c r="E312" t="s">
        <v>197</v>
      </c>
    </row>
    <row r="313" spans="1:5" x14ac:dyDescent="0.3">
      <c r="A313">
        <v>251</v>
      </c>
      <c r="B313" t="s">
        <v>78</v>
      </c>
      <c r="C313" t="s">
        <v>37</v>
      </c>
      <c r="D313">
        <v>1</v>
      </c>
      <c r="E313" t="s">
        <v>87</v>
      </c>
    </row>
    <row r="314" spans="1:5" x14ac:dyDescent="0.3">
      <c r="A314">
        <v>252</v>
      </c>
      <c r="B314" t="s">
        <v>27</v>
      </c>
      <c r="C314" t="s">
        <v>84</v>
      </c>
      <c r="D314">
        <v>0</v>
      </c>
      <c r="E314" t="s">
        <v>223</v>
      </c>
    </row>
    <row r="315" spans="1:5" x14ac:dyDescent="0.3">
      <c r="A315">
        <v>252</v>
      </c>
      <c r="B315" t="s">
        <v>5</v>
      </c>
      <c r="C315" t="s">
        <v>36</v>
      </c>
      <c r="D315">
        <v>0</v>
      </c>
      <c r="E315" t="s">
        <v>87</v>
      </c>
    </row>
    <row r="316" spans="1:5" x14ac:dyDescent="0.3">
      <c r="A316">
        <v>252</v>
      </c>
      <c r="B316" t="s">
        <v>7</v>
      </c>
      <c r="C316" t="s">
        <v>36</v>
      </c>
      <c r="D316">
        <v>6</v>
      </c>
      <c r="E316" t="s">
        <v>191</v>
      </c>
    </row>
    <row r="317" spans="1:5" x14ac:dyDescent="0.3">
      <c r="A317">
        <v>252</v>
      </c>
      <c r="B317" t="s">
        <v>6</v>
      </c>
      <c r="C317" t="s">
        <v>36</v>
      </c>
      <c r="D317">
        <v>19</v>
      </c>
      <c r="E317" t="s">
        <v>190</v>
      </c>
    </row>
    <row r="318" spans="1:5" x14ac:dyDescent="0.3">
      <c r="A318">
        <v>252</v>
      </c>
      <c r="B318" t="s">
        <v>76</v>
      </c>
      <c r="C318" t="s">
        <v>68</v>
      </c>
      <c r="D318">
        <v>1</v>
      </c>
      <c r="E318" t="s">
        <v>103</v>
      </c>
    </row>
    <row r="319" spans="1:5" x14ac:dyDescent="0.3">
      <c r="A319">
        <v>252</v>
      </c>
      <c r="B319" t="s">
        <v>78</v>
      </c>
      <c r="C319" t="s">
        <v>37</v>
      </c>
      <c r="D319">
        <v>1</v>
      </c>
      <c r="E319" t="s">
        <v>103</v>
      </c>
    </row>
    <row r="320" spans="1:5" x14ac:dyDescent="0.3">
      <c r="A320">
        <v>252</v>
      </c>
      <c r="B320" t="s">
        <v>77</v>
      </c>
      <c r="C320" t="s">
        <v>65</v>
      </c>
      <c r="D320">
        <v>1</v>
      </c>
      <c r="E320" t="s">
        <v>226</v>
      </c>
    </row>
    <row r="321" spans="1:5" x14ac:dyDescent="0.3">
      <c r="A321">
        <v>252</v>
      </c>
      <c r="B321" t="s">
        <v>74</v>
      </c>
      <c r="C321" t="s">
        <v>65</v>
      </c>
      <c r="D321">
        <v>2</v>
      </c>
      <c r="E321" t="s">
        <v>103</v>
      </c>
    </row>
    <row r="322" spans="1:5" x14ac:dyDescent="0.3">
      <c r="A322">
        <v>252</v>
      </c>
      <c r="B322" t="s">
        <v>38</v>
      </c>
      <c r="C322" t="s">
        <v>68</v>
      </c>
      <c r="D322">
        <v>2</v>
      </c>
      <c r="E322" t="s">
        <v>237</v>
      </c>
    </row>
    <row r="323" spans="1:5" x14ac:dyDescent="0.3">
      <c r="A323">
        <v>252</v>
      </c>
      <c r="B323" t="s">
        <v>80</v>
      </c>
      <c r="C323" t="s">
        <v>68</v>
      </c>
      <c r="D323">
        <v>0</v>
      </c>
      <c r="E323" t="s">
        <v>224</v>
      </c>
    </row>
    <row r="324" spans="1:5" x14ac:dyDescent="0.3">
      <c r="A324">
        <v>252</v>
      </c>
      <c r="B324" t="s">
        <v>33</v>
      </c>
      <c r="C324" t="s">
        <v>68</v>
      </c>
      <c r="D324">
        <v>1</v>
      </c>
      <c r="E324" t="s">
        <v>225</v>
      </c>
    </row>
    <row r="325" spans="1:5" x14ac:dyDescent="0.3">
      <c r="A325">
        <v>253</v>
      </c>
      <c r="B325" t="s">
        <v>7</v>
      </c>
      <c r="C325" t="s">
        <v>36</v>
      </c>
      <c r="D325">
        <v>26</v>
      </c>
      <c r="E325" t="s">
        <v>81</v>
      </c>
    </row>
    <row r="326" spans="1:5" x14ac:dyDescent="0.3">
      <c r="A326">
        <v>253</v>
      </c>
      <c r="B326" t="s">
        <v>6</v>
      </c>
      <c r="C326" t="s">
        <v>36</v>
      </c>
      <c r="D326">
        <v>10</v>
      </c>
      <c r="E326" t="s">
        <v>203</v>
      </c>
    </row>
    <row r="327" spans="1:5" x14ac:dyDescent="0.3">
      <c r="A327">
        <v>253</v>
      </c>
      <c r="B327" t="s">
        <v>4</v>
      </c>
      <c r="C327" t="s">
        <v>36</v>
      </c>
      <c r="D327">
        <v>0</v>
      </c>
      <c r="E327" t="s">
        <v>204</v>
      </c>
    </row>
    <row r="328" spans="1:5" x14ac:dyDescent="0.3">
      <c r="A328">
        <v>253</v>
      </c>
      <c r="B328" t="s">
        <v>21</v>
      </c>
      <c r="C328" t="s">
        <v>65</v>
      </c>
      <c r="D328">
        <v>4</v>
      </c>
      <c r="E328" t="s">
        <v>227</v>
      </c>
    </row>
    <row r="329" spans="1:5" x14ac:dyDescent="0.3">
      <c r="A329">
        <v>253</v>
      </c>
      <c r="B329" t="s">
        <v>31</v>
      </c>
      <c r="C329" t="s">
        <v>68</v>
      </c>
      <c r="D329">
        <v>2</v>
      </c>
      <c r="E329" t="s">
        <v>245</v>
      </c>
    </row>
    <row r="330" spans="1:5" x14ac:dyDescent="0.3">
      <c r="A330">
        <v>253</v>
      </c>
      <c r="B330" t="s">
        <v>80</v>
      </c>
      <c r="C330" t="s">
        <v>68</v>
      </c>
      <c r="D330">
        <v>0</v>
      </c>
      <c r="E330" t="s">
        <v>217</v>
      </c>
    </row>
    <row r="331" spans="1:5" x14ac:dyDescent="0.3">
      <c r="A331">
        <v>253</v>
      </c>
      <c r="B331" t="s">
        <v>33</v>
      </c>
      <c r="C331" t="s">
        <v>68</v>
      </c>
      <c r="D331">
        <v>1</v>
      </c>
      <c r="E331" t="s">
        <v>217</v>
      </c>
    </row>
    <row r="332" spans="1:5" x14ac:dyDescent="0.3">
      <c r="A332">
        <v>253</v>
      </c>
      <c r="B332" t="s">
        <v>74</v>
      </c>
      <c r="C332" t="s">
        <v>65</v>
      </c>
      <c r="D332">
        <v>2</v>
      </c>
      <c r="E332" t="s">
        <v>103</v>
      </c>
    </row>
    <row r="333" spans="1:5" x14ac:dyDescent="0.3">
      <c r="A333">
        <v>253</v>
      </c>
      <c r="B333" t="s">
        <v>77</v>
      </c>
      <c r="C333" t="s">
        <v>65</v>
      </c>
      <c r="D333">
        <v>1</v>
      </c>
      <c r="E333" t="s">
        <v>226</v>
      </c>
    </row>
    <row r="334" spans="1:5" x14ac:dyDescent="0.3">
      <c r="A334">
        <v>253</v>
      </c>
      <c r="B334" t="s">
        <v>78</v>
      </c>
      <c r="C334" t="s">
        <v>37</v>
      </c>
      <c r="D334">
        <v>1</v>
      </c>
      <c r="E334" t="s">
        <v>87</v>
      </c>
    </row>
    <row r="335" spans="1:5" x14ac:dyDescent="0.3">
      <c r="A335">
        <v>253</v>
      </c>
      <c r="B335" t="s">
        <v>76</v>
      </c>
      <c r="C335" t="s">
        <v>68</v>
      </c>
      <c r="D335">
        <v>1</v>
      </c>
      <c r="E335" t="s">
        <v>81</v>
      </c>
    </row>
    <row r="336" spans="1:5" x14ac:dyDescent="0.3">
      <c r="A336">
        <v>254</v>
      </c>
      <c r="B336" t="s">
        <v>6</v>
      </c>
      <c r="C336" t="s">
        <v>36</v>
      </c>
      <c r="D336">
        <v>20</v>
      </c>
      <c r="E336" t="s">
        <v>205</v>
      </c>
    </row>
    <row r="337" spans="1:5" x14ac:dyDescent="0.3">
      <c r="A337">
        <v>254</v>
      </c>
      <c r="B337" t="s">
        <v>4</v>
      </c>
      <c r="C337" t="s">
        <v>36</v>
      </c>
      <c r="D337">
        <v>0</v>
      </c>
      <c r="E337" t="s">
        <v>87</v>
      </c>
    </row>
    <row r="338" spans="1:5" x14ac:dyDescent="0.3">
      <c r="A338">
        <v>254</v>
      </c>
      <c r="B338" t="s">
        <v>7</v>
      </c>
      <c r="C338" t="s">
        <v>36</v>
      </c>
      <c r="D338">
        <v>14</v>
      </c>
      <c r="E338" t="s">
        <v>81</v>
      </c>
    </row>
    <row r="339" spans="1:5" x14ac:dyDescent="0.3">
      <c r="A339">
        <v>254</v>
      </c>
      <c r="B339" t="s">
        <v>5</v>
      </c>
      <c r="C339" t="s">
        <v>36</v>
      </c>
      <c r="D339">
        <v>0</v>
      </c>
      <c r="E339" t="s">
        <v>87</v>
      </c>
    </row>
    <row r="340" spans="1:5" x14ac:dyDescent="0.3">
      <c r="A340">
        <v>255</v>
      </c>
      <c r="B340" t="s">
        <v>5</v>
      </c>
      <c r="C340" t="s">
        <v>36</v>
      </c>
      <c r="D340">
        <v>0</v>
      </c>
      <c r="E340" t="s">
        <v>231</v>
      </c>
    </row>
    <row r="341" spans="1:5" x14ac:dyDescent="0.3">
      <c r="A341">
        <v>255</v>
      </c>
      <c r="B341" t="s">
        <v>77</v>
      </c>
      <c r="C341" t="s">
        <v>65</v>
      </c>
      <c r="D341">
        <v>0</v>
      </c>
      <c r="E341" t="s">
        <v>81</v>
      </c>
    </row>
    <row r="342" spans="1:5" x14ac:dyDescent="0.3">
      <c r="A342">
        <v>255</v>
      </c>
      <c r="B342" t="s">
        <v>74</v>
      </c>
      <c r="C342" t="s">
        <v>65</v>
      </c>
      <c r="D342">
        <v>3</v>
      </c>
      <c r="E342" t="s">
        <v>228</v>
      </c>
    </row>
    <row r="343" spans="1:5" x14ac:dyDescent="0.3">
      <c r="A343">
        <v>255</v>
      </c>
      <c r="B343" t="s">
        <v>35</v>
      </c>
      <c r="C343" t="s">
        <v>68</v>
      </c>
      <c r="D343">
        <v>1</v>
      </c>
      <c r="E343" t="s">
        <v>247</v>
      </c>
    </row>
    <row r="344" spans="1:5" x14ac:dyDescent="0.3">
      <c r="A344">
        <v>255</v>
      </c>
      <c r="B344" t="s">
        <v>34</v>
      </c>
      <c r="C344" t="s">
        <v>68</v>
      </c>
      <c r="D344">
        <v>0</v>
      </c>
      <c r="E344" t="s">
        <v>246</v>
      </c>
    </row>
    <row r="345" spans="1:5" x14ac:dyDescent="0.3">
      <c r="A345">
        <v>255</v>
      </c>
      <c r="B345" t="s">
        <v>26</v>
      </c>
      <c r="C345" t="s">
        <v>84</v>
      </c>
      <c r="D345">
        <v>3</v>
      </c>
      <c r="E345" t="s">
        <v>159</v>
      </c>
    </row>
    <row r="346" spans="1:5" x14ac:dyDescent="0.3">
      <c r="A346">
        <v>255</v>
      </c>
      <c r="B346" t="s">
        <v>24</v>
      </c>
      <c r="C346" t="s">
        <v>84</v>
      </c>
      <c r="D346">
        <v>2</v>
      </c>
      <c r="E346" t="s">
        <v>220</v>
      </c>
    </row>
    <row r="347" spans="1:5" x14ac:dyDescent="0.3">
      <c r="A347">
        <v>255</v>
      </c>
      <c r="B347" t="s">
        <v>21</v>
      </c>
      <c r="C347" t="s">
        <v>65</v>
      </c>
      <c r="D347">
        <v>1</v>
      </c>
      <c r="E347" t="s">
        <v>229</v>
      </c>
    </row>
    <row r="348" spans="1:5" x14ac:dyDescent="0.3">
      <c r="A348">
        <v>255</v>
      </c>
      <c r="B348" t="s">
        <v>19</v>
      </c>
      <c r="C348" t="s">
        <v>65</v>
      </c>
      <c r="D348">
        <v>6</v>
      </c>
      <c r="E348" t="s">
        <v>230</v>
      </c>
    </row>
    <row r="349" spans="1:5" x14ac:dyDescent="0.3">
      <c r="A349">
        <v>255</v>
      </c>
      <c r="B349" t="s">
        <v>7</v>
      </c>
      <c r="C349" t="s">
        <v>36</v>
      </c>
      <c r="D349">
        <v>4</v>
      </c>
      <c r="E349" t="s">
        <v>81</v>
      </c>
    </row>
    <row r="350" spans="1:5" x14ac:dyDescent="0.3">
      <c r="A350">
        <v>255</v>
      </c>
      <c r="B350" t="s">
        <v>6</v>
      </c>
      <c r="C350" t="s">
        <v>36</v>
      </c>
      <c r="D350">
        <v>16</v>
      </c>
      <c r="E350" t="s">
        <v>114</v>
      </c>
    </row>
    <row r="351" spans="1:5" x14ac:dyDescent="0.3">
      <c r="A351">
        <v>255</v>
      </c>
      <c r="B351" t="s">
        <v>78</v>
      </c>
      <c r="C351" t="s">
        <v>37</v>
      </c>
      <c r="D351">
        <v>1</v>
      </c>
      <c r="E351" t="s">
        <v>87</v>
      </c>
    </row>
    <row r="352" spans="1:5" x14ac:dyDescent="0.3">
      <c r="A352">
        <v>255</v>
      </c>
      <c r="B352" t="s">
        <v>76</v>
      </c>
      <c r="C352" t="s">
        <v>68</v>
      </c>
      <c r="D352">
        <v>1</v>
      </c>
      <c r="E352" t="s">
        <v>81</v>
      </c>
    </row>
    <row r="353" spans="1:5" x14ac:dyDescent="0.3">
      <c r="A353">
        <v>256</v>
      </c>
      <c r="B353" t="s">
        <v>76</v>
      </c>
      <c r="C353" t="s">
        <v>68</v>
      </c>
      <c r="D353">
        <v>1</v>
      </c>
      <c r="E353" t="s">
        <v>269</v>
      </c>
    </row>
    <row r="354" spans="1:5" x14ac:dyDescent="0.3">
      <c r="A354">
        <v>256</v>
      </c>
      <c r="B354" t="s">
        <v>78</v>
      </c>
      <c r="C354" t="s">
        <v>37</v>
      </c>
      <c r="D354">
        <v>1</v>
      </c>
      <c r="E354" t="s">
        <v>248</v>
      </c>
    </row>
    <row r="355" spans="1:5" x14ac:dyDescent="0.3">
      <c r="A355">
        <v>256</v>
      </c>
      <c r="B355" t="s">
        <v>35</v>
      </c>
      <c r="C355" t="s">
        <v>68</v>
      </c>
      <c r="D355">
        <v>4</v>
      </c>
      <c r="E355" t="s">
        <v>361</v>
      </c>
    </row>
    <row r="356" spans="1:5" x14ac:dyDescent="0.3">
      <c r="A356">
        <v>256</v>
      </c>
      <c r="B356" t="s">
        <v>33</v>
      </c>
      <c r="C356" t="s">
        <v>68</v>
      </c>
      <c r="D356">
        <v>1</v>
      </c>
      <c r="E356" t="s">
        <v>335</v>
      </c>
    </row>
    <row r="357" spans="1:5" x14ac:dyDescent="0.3">
      <c r="A357">
        <v>256</v>
      </c>
      <c r="B357" t="s">
        <v>29</v>
      </c>
      <c r="C357" t="s">
        <v>68</v>
      </c>
      <c r="D357">
        <v>11</v>
      </c>
      <c r="E357" t="s">
        <v>336</v>
      </c>
    </row>
    <row r="358" spans="1:5" x14ac:dyDescent="0.3">
      <c r="A358">
        <v>256</v>
      </c>
      <c r="B358" t="s">
        <v>27</v>
      </c>
      <c r="C358" t="s">
        <v>84</v>
      </c>
      <c r="D358">
        <v>5</v>
      </c>
      <c r="E358" t="s">
        <v>217</v>
      </c>
    </row>
    <row r="359" spans="1:5" x14ac:dyDescent="0.3">
      <c r="A359">
        <v>256</v>
      </c>
      <c r="B359" t="s">
        <v>26</v>
      </c>
      <c r="C359" t="s">
        <v>84</v>
      </c>
      <c r="D359">
        <v>0</v>
      </c>
      <c r="E359" t="s">
        <v>269</v>
      </c>
    </row>
    <row r="360" spans="1:5" x14ac:dyDescent="0.3">
      <c r="A360">
        <v>256</v>
      </c>
      <c r="B360" t="s">
        <v>21</v>
      </c>
      <c r="C360" t="s">
        <v>65</v>
      </c>
      <c r="D360">
        <v>5</v>
      </c>
      <c r="E360" t="s">
        <v>282</v>
      </c>
    </row>
    <row r="361" spans="1:5" x14ac:dyDescent="0.3">
      <c r="A361">
        <v>256</v>
      </c>
      <c r="B361" t="s">
        <v>19</v>
      </c>
      <c r="C361" t="s">
        <v>65</v>
      </c>
      <c r="D361">
        <v>3</v>
      </c>
      <c r="E361" t="s">
        <v>283</v>
      </c>
    </row>
    <row r="362" spans="1:5" x14ac:dyDescent="0.3">
      <c r="A362">
        <v>256</v>
      </c>
      <c r="B362" t="s">
        <v>9</v>
      </c>
      <c r="C362" t="s">
        <v>37</v>
      </c>
      <c r="D362">
        <v>22</v>
      </c>
      <c r="E362" t="s">
        <v>275</v>
      </c>
    </row>
    <row r="363" spans="1:5" x14ac:dyDescent="0.3">
      <c r="A363">
        <v>256</v>
      </c>
      <c r="B363" t="s">
        <v>5</v>
      </c>
      <c r="C363" t="s">
        <v>36</v>
      </c>
      <c r="D363">
        <v>1</v>
      </c>
      <c r="E363" t="s">
        <v>232</v>
      </c>
    </row>
    <row r="364" spans="1:5" x14ac:dyDescent="0.3">
      <c r="A364">
        <v>257</v>
      </c>
      <c r="B364" t="s">
        <v>23</v>
      </c>
      <c r="C364" t="s">
        <v>65</v>
      </c>
      <c r="D364">
        <v>0</v>
      </c>
      <c r="E364" t="s">
        <v>252</v>
      </c>
    </row>
    <row r="365" spans="1:5" x14ac:dyDescent="0.3">
      <c r="A365">
        <v>257</v>
      </c>
      <c r="B365" t="s">
        <v>5</v>
      </c>
      <c r="C365" t="s">
        <v>36</v>
      </c>
      <c r="D365">
        <v>0</v>
      </c>
      <c r="E365" t="s">
        <v>235</v>
      </c>
    </row>
    <row r="366" spans="1:5" x14ac:dyDescent="0.3">
      <c r="A366">
        <v>257</v>
      </c>
      <c r="B366" t="s">
        <v>7</v>
      </c>
      <c r="C366" t="s">
        <v>36</v>
      </c>
      <c r="D366">
        <v>27</v>
      </c>
      <c r="E366" t="s">
        <v>249</v>
      </c>
    </row>
    <row r="367" spans="1:5" x14ac:dyDescent="0.3">
      <c r="A367">
        <v>257</v>
      </c>
      <c r="B367" t="s">
        <v>35</v>
      </c>
      <c r="C367" t="s">
        <v>68</v>
      </c>
      <c r="D367">
        <v>4</v>
      </c>
      <c r="E367" t="s">
        <v>311</v>
      </c>
    </row>
    <row r="368" spans="1:5" x14ac:dyDescent="0.3">
      <c r="A368">
        <v>257</v>
      </c>
      <c r="B368" t="s">
        <v>6</v>
      </c>
      <c r="C368" t="s">
        <v>36</v>
      </c>
      <c r="D368">
        <v>27</v>
      </c>
      <c r="E368" t="s">
        <v>249</v>
      </c>
    </row>
    <row r="369" spans="1:5" x14ac:dyDescent="0.3">
      <c r="A369">
        <v>257</v>
      </c>
      <c r="B369" t="s">
        <v>26</v>
      </c>
      <c r="C369" t="s">
        <v>84</v>
      </c>
      <c r="D369">
        <v>0</v>
      </c>
      <c r="E369" t="s">
        <v>217</v>
      </c>
    </row>
    <row r="370" spans="1:5" x14ac:dyDescent="0.3">
      <c r="A370">
        <v>257</v>
      </c>
      <c r="B370" t="s">
        <v>27</v>
      </c>
      <c r="C370" t="s">
        <v>84</v>
      </c>
      <c r="D370">
        <v>9</v>
      </c>
      <c r="E370" t="s">
        <v>284</v>
      </c>
    </row>
    <row r="371" spans="1:5" x14ac:dyDescent="0.3">
      <c r="A371">
        <v>257</v>
      </c>
      <c r="B371" t="s">
        <v>20</v>
      </c>
      <c r="C371" t="s">
        <v>65</v>
      </c>
      <c r="D371">
        <v>2</v>
      </c>
      <c r="E371" t="s">
        <v>251</v>
      </c>
    </row>
    <row r="372" spans="1:5" x14ac:dyDescent="0.3">
      <c r="A372">
        <v>257</v>
      </c>
      <c r="B372" t="s">
        <v>75</v>
      </c>
      <c r="C372" t="s">
        <v>65</v>
      </c>
      <c r="D372">
        <v>0</v>
      </c>
      <c r="E372" t="s">
        <v>242</v>
      </c>
    </row>
    <row r="373" spans="1:5" x14ac:dyDescent="0.3">
      <c r="A373">
        <v>257</v>
      </c>
      <c r="B373" t="s">
        <v>28</v>
      </c>
      <c r="C373" t="s">
        <v>68</v>
      </c>
      <c r="D373">
        <v>34</v>
      </c>
      <c r="E373" t="s">
        <v>285</v>
      </c>
    </row>
    <row r="374" spans="1:5" x14ac:dyDescent="0.3">
      <c r="A374">
        <v>257</v>
      </c>
      <c r="B374" t="s">
        <v>11</v>
      </c>
      <c r="C374" t="s">
        <v>37</v>
      </c>
      <c r="D374">
        <v>1</v>
      </c>
      <c r="E374" t="s">
        <v>267</v>
      </c>
    </row>
    <row r="375" spans="1:5" x14ac:dyDescent="0.3">
      <c r="A375">
        <v>257</v>
      </c>
      <c r="B375" t="s">
        <v>33</v>
      </c>
      <c r="C375" t="s">
        <v>68</v>
      </c>
      <c r="D375">
        <v>1</v>
      </c>
      <c r="E375" t="s">
        <v>124</v>
      </c>
    </row>
    <row r="376" spans="1:5" x14ac:dyDescent="0.3">
      <c r="A376">
        <v>257</v>
      </c>
      <c r="B376" t="s">
        <v>76</v>
      </c>
      <c r="C376" t="s">
        <v>68</v>
      </c>
      <c r="D376">
        <v>2</v>
      </c>
      <c r="E376" t="s">
        <v>114</v>
      </c>
    </row>
    <row r="377" spans="1:5" x14ac:dyDescent="0.3">
      <c r="A377">
        <v>257</v>
      </c>
      <c r="B377" t="s">
        <v>78</v>
      </c>
      <c r="C377" t="s">
        <v>37</v>
      </c>
      <c r="D377">
        <v>1</v>
      </c>
      <c r="E377" t="s">
        <v>269</v>
      </c>
    </row>
    <row r="378" spans="1:5" x14ac:dyDescent="0.3">
      <c r="A378">
        <v>257</v>
      </c>
      <c r="B378" t="s">
        <v>77</v>
      </c>
      <c r="C378" t="s">
        <v>65</v>
      </c>
      <c r="D378">
        <v>1</v>
      </c>
      <c r="E378" t="s">
        <v>268</v>
      </c>
    </row>
    <row r="379" spans="1:5" x14ac:dyDescent="0.3">
      <c r="A379">
        <v>257</v>
      </c>
      <c r="B379" t="s">
        <v>74</v>
      </c>
      <c r="C379" t="s">
        <v>65</v>
      </c>
      <c r="D379">
        <v>2</v>
      </c>
      <c r="E379" t="s">
        <v>247</v>
      </c>
    </row>
    <row r="380" spans="1:5" x14ac:dyDescent="0.3">
      <c r="A380">
        <v>257</v>
      </c>
      <c r="B380" t="s">
        <v>21</v>
      </c>
      <c r="C380" t="s">
        <v>65</v>
      </c>
      <c r="D380">
        <v>1</v>
      </c>
      <c r="E380" t="s">
        <v>253</v>
      </c>
    </row>
    <row r="381" spans="1:5" x14ac:dyDescent="0.3">
      <c r="A381">
        <v>257</v>
      </c>
      <c r="B381" t="s">
        <v>9</v>
      </c>
      <c r="C381" t="s">
        <v>37</v>
      </c>
      <c r="D381">
        <v>22</v>
      </c>
      <c r="E381" t="s">
        <v>250</v>
      </c>
    </row>
    <row r="382" spans="1:5" x14ac:dyDescent="0.3">
      <c r="A382">
        <v>258</v>
      </c>
      <c r="B382" t="s">
        <v>27</v>
      </c>
      <c r="C382" t="s">
        <v>84</v>
      </c>
      <c r="D382">
        <v>7</v>
      </c>
      <c r="E382" t="s">
        <v>257</v>
      </c>
    </row>
    <row r="383" spans="1:5" x14ac:dyDescent="0.3">
      <c r="A383">
        <v>258</v>
      </c>
      <c r="B383" t="s">
        <v>76</v>
      </c>
      <c r="C383" t="s">
        <v>68</v>
      </c>
      <c r="D383">
        <v>1</v>
      </c>
      <c r="E383" t="s">
        <v>87</v>
      </c>
    </row>
    <row r="384" spans="1:5" x14ac:dyDescent="0.3">
      <c r="A384">
        <v>258</v>
      </c>
      <c r="B384" t="s">
        <v>78</v>
      </c>
      <c r="C384" t="s">
        <v>37</v>
      </c>
      <c r="D384">
        <v>1</v>
      </c>
      <c r="E384" t="s">
        <v>254</v>
      </c>
    </row>
    <row r="385" spans="1:5" x14ac:dyDescent="0.3">
      <c r="A385">
        <v>258</v>
      </c>
      <c r="B385" t="s">
        <v>74</v>
      </c>
      <c r="C385" t="s">
        <v>65</v>
      </c>
      <c r="D385">
        <v>2</v>
      </c>
      <c r="E385" t="s">
        <v>81</v>
      </c>
    </row>
    <row r="386" spans="1:5" x14ac:dyDescent="0.3">
      <c r="A386">
        <v>258</v>
      </c>
      <c r="B386" t="s">
        <v>35</v>
      </c>
      <c r="C386" t="s">
        <v>68</v>
      </c>
      <c r="D386">
        <v>2</v>
      </c>
      <c r="E386" t="s">
        <v>271</v>
      </c>
    </row>
    <row r="387" spans="1:5" x14ac:dyDescent="0.3">
      <c r="A387">
        <v>258</v>
      </c>
      <c r="B387" t="s">
        <v>33</v>
      </c>
      <c r="C387" t="s">
        <v>68</v>
      </c>
      <c r="D387">
        <v>1</v>
      </c>
      <c r="E387" t="s">
        <v>269</v>
      </c>
    </row>
    <row r="388" spans="1:5" x14ac:dyDescent="0.3">
      <c r="A388">
        <v>258</v>
      </c>
      <c r="B388" t="s">
        <v>26</v>
      </c>
      <c r="C388" t="s">
        <v>84</v>
      </c>
      <c r="D388">
        <v>3</v>
      </c>
      <c r="E388" t="s">
        <v>258</v>
      </c>
    </row>
    <row r="389" spans="1:5" x14ac:dyDescent="0.3">
      <c r="A389">
        <v>258</v>
      </c>
      <c r="B389" t="s">
        <v>21</v>
      </c>
      <c r="C389" t="s">
        <v>65</v>
      </c>
      <c r="D389">
        <v>1</v>
      </c>
      <c r="E389" t="s">
        <v>242</v>
      </c>
    </row>
    <row r="390" spans="1:5" x14ac:dyDescent="0.3">
      <c r="A390">
        <v>258</v>
      </c>
      <c r="B390" t="s">
        <v>6</v>
      </c>
      <c r="C390" t="s">
        <v>36</v>
      </c>
      <c r="D390">
        <v>10</v>
      </c>
      <c r="E390" t="s">
        <v>233</v>
      </c>
    </row>
    <row r="391" spans="1:5" x14ac:dyDescent="0.3">
      <c r="A391">
        <v>258</v>
      </c>
      <c r="B391" t="s">
        <v>19</v>
      </c>
      <c r="C391" t="s">
        <v>65</v>
      </c>
      <c r="D391">
        <v>6</v>
      </c>
      <c r="E391" t="s">
        <v>255</v>
      </c>
    </row>
    <row r="392" spans="1:5" x14ac:dyDescent="0.3">
      <c r="A392">
        <v>258</v>
      </c>
      <c r="B392" t="s">
        <v>12</v>
      </c>
      <c r="C392" t="s">
        <v>37</v>
      </c>
      <c r="D392">
        <v>2</v>
      </c>
      <c r="E392" t="s">
        <v>238</v>
      </c>
    </row>
    <row r="393" spans="1:5" x14ac:dyDescent="0.3">
      <c r="A393">
        <v>258</v>
      </c>
      <c r="B393" t="s">
        <v>5</v>
      </c>
      <c r="C393" t="s">
        <v>36</v>
      </c>
      <c r="D393">
        <v>1</v>
      </c>
      <c r="E393" t="s">
        <v>234</v>
      </c>
    </row>
    <row r="394" spans="1:5" x14ac:dyDescent="0.3">
      <c r="A394">
        <v>258</v>
      </c>
      <c r="B394" t="s">
        <v>7</v>
      </c>
      <c r="C394" t="s">
        <v>36</v>
      </c>
      <c r="D394">
        <v>10</v>
      </c>
      <c r="E394" t="s">
        <v>233</v>
      </c>
    </row>
    <row r="395" spans="1:5" x14ac:dyDescent="0.3">
      <c r="A395">
        <v>258</v>
      </c>
      <c r="B395" t="s">
        <v>20</v>
      </c>
      <c r="C395" t="s">
        <v>65</v>
      </c>
      <c r="D395">
        <v>6</v>
      </c>
      <c r="E395" t="s">
        <v>256</v>
      </c>
    </row>
    <row r="396" spans="1:5" x14ac:dyDescent="0.3">
      <c r="A396">
        <v>258</v>
      </c>
      <c r="B396" t="s">
        <v>34</v>
      </c>
      <c r="C396" t="s">
        <v>68</v>
      </c>
      <c r="D396">
        <v>0</v>
      </c>
      <c r="E396" t="s">
        <v>270</v>
      </c>
    </row>
    <row r="397" spans="1:5" x14ac:dyDescent="0.3">
      <c r="A397">
        <v>259</v>
      </c>
      <c r="B397" t="s">
        <v>21</v>
      </c>
      <c r="C397" t="s">
        <v>65</v>
      </c>
      <c r="D397">
        <v>10</v>
      </c>
      <c r="E397" t="s">
        <v>294</v>
      </c>
    </row>
    <row r="398" spans="1:5" x14ac:dyDescent="0.3">
      <c r="A398">
        <v>259</v>
      </c>
      <c r="B398" t="s">
        <v>20</v>
      </c>
      <c r="C398" t="s">
        <v>65</v>
      </c>
      <c r="D398">
        <v>2</v>
      </c>
      <c r="E398" t="s">
        <v>295</v>
      </c>
    </row>
    <row r="399" spans="1:5" x14ac:dyDescent="0.3">
      <c r="A399">
        <v>259</v>
      </c>
      <c r="B399" t="s">
        <v>19</v>
      </c>
      <c r="C399" t="s">
        <v>65</v>
      </c>
      <c r="D399">
        <v>9</v>
      </c>
      <c r="E399" t="s">
        <v>289</v>
      </c>
    </row>
    <row r="400" spans="1:5" x14ac:dyDescent="0.3">
      <c r="A400">
        <v>259</v>
      </c>
      <c r="B400" t="s">
        <v>9</v>
      </c>
      <c r="C400" t="s">
        <v>37</v>
      </c>
      <c r="D400">
        <v>1</v>
      </c>
      <c r="E400" t="s">
        <v>259</v>
      </c>
    </row>
    <row r="401" spans="1:5" x14ac:dyDescent="0.3">
      <c r="A401">
        <v>259</v>
      </c>
      <c r="B401" t="s">
        <v>5</v>
      </c>
      <c r="C401" t="s">
        <v>36</v>
      </c>
      <c r="D401">
        <v>0</v>
      </c>
      <c r="E401" t="s">
        <v>239</v>
      </c>
    </row>
    <row r="402" spans="1:5" x14ac:dyDescent="0.3">
      <c r="A402">
        <v>259</v>
      </c>
      <c r="B402" t="s">
        <v>6</v>
      </c>
      <c r="C402" t="s">
        <v>36</v>
      </c>
      <c r="D402">
        <v>21</v>
      </c>
      <c r="E402" t="s">
        <v>249</v>
      </c>
    </row>
    <row r="403" spans="1:5" x14ac:dyDescent="0.3">
      <c r="A403">
        <v>259</v>
      </c>
      <c r="B403" t="s">
        <v>23</v>
      </c>
      <c r="C403" t="s">
        <v>65</v>
      </c>
      <c r="D403">
        <v>9</v>
      </c>
      <c r="E403" t="s">
        <v>293</v>
      </c>
    </row>
    <row r="404" spans="1:5" x14ac:dyDescent="0.3">
      <c r="A404">
        <v>259</v>
      </c>
      <c r="B404" t="s">
        <v>28</v>
      </c>
      <c r="C404" t="s">
        <v>68</v>
      </c>
      <c r="D404">
        <v>2</v>
      </c>
      <c r="E404" t="s">
        <v>287</v>
      </c>
    </row>
    <row r="405" spans="1:5" x14ac:dyDescent="0.3">
      <c r="A405">
        <v>259</v>
      </c>
      <c r="B405" t="s">
        <v>7</v>
      </c>
      <c r="C405" t="s">
        <v>36</v>
      </c>
      <c r="D405">
        <v>30</v>
      </c>
      <c r="E405" t="s">
        <v>217</v>
      </c>
    </row>
    <row r="406" spans="1:5" x14ac:dyDescent="0.3">
      <c r="A406">
        <v>259</v>
      </c>
      <c r="B406" t="s">
        <v>77</v>
      </c>
      <c r="C406" t="s">
        <v>65</v>
      </c>
      <c r="D406">
        <v>1</v>
      </c>
      <c r="E406" t="s">
        <v>296</v>
      </c>
    </row>
    <row r="407" spans="1:5" x14ac:dyDescent="0.3">
      <c r="A407">
        <v>259</v>
      </c>
      <c r="B407" t="s">
        <v>76</v>
      </c>
      <c r="C407" t="s">
        <v>68</v>
      </c>
      <c r="D407">
        <v>3</v>
      </c>
      <c r="E407" t="s">
        <v>287</v>
      </c>
    </row>
    <row r="408" spans="1:5" x14ac:dyDescent="0.3">
      <c r="A408">
        <v>259</v>
      </c>
      <c r="B408" t="s">
        <v>26</v>
      </c>
      <c r="C408" t="s">
        <v>84</v>
      </c>
      <c r="D408">
        <v>1</v>
      </c>
      <c r="E408" t="s">
        <v>292</v>
      </c>
    </row>
    <row r="409" spans="1:5" x14ac:dyDescent="0.3">
      <c r="A409">
        <v>259</v>
      </c>
      <c r="B409" t="s">
        <v>78</v>
      </c>
      <c r="C409" t="s">
        <v>37</v>
      </c>
      <c r="D409">
        <v>1</v>
      </c>
      <c r="E409" t="s">
        <v>288</v>
      </c>
    </row>
    <row r="410" spans="1:5" x14ac:dyDescent="0.3">
      <c r="A410">
        <v>259</v>
      </c>
      <c r="B410" t="s">
        <v>74</v>
      </c>
      <c r="C410" t="s">
        <v>65</v>
      </c>
      <c r="D410">
        <v>10</v>
      </c>
      <c r="E410" t="s">
        <v>290</v>
      </c>
    </row>
    <row r="411" spans="1:5" x14ac:dyDescent="0.3">
      <c r="A411">
        <v>259</v>
      </c>
      <c r="B411" t="s">
        <v>35</v>
      </c>
      <c r="C411" t="s">
        <v>68</v>
      </c>
      <c r="D411">
        <v>2</v>
      </c>
      <c r="E411" t="s">
        <v>323</v>
      </c>
    </row>
    <row r="412" spans="1:5" x14ac:dyDescent="0.3">
      <c r="A412">
        <v>259</v>
      </c>
      <c r="B412" t="s">
        <v>33</v>
      </c>
      <c r="C412" t="s">
        <v>68</v>
      </c>
      <c r="D412">
        <v>4</v>
      </c>
      <c r="E412" t="s">
        <v>286</v>
      </c>
    </row>
    <row r="413" spans="1:5" x14ac:dyDescent="0.3">
      <c r="A413">
        <v>259</v>
      </c>
      <c r="B413" t="s">
        <v>80</v>
      </c>
      <c r="C413" t="s">
        <v>68</v>
      </c>
      <c r="D413">
        <v>2</v>
      </c>
      <c r="E413" t="s">
        <v>291</v>
      </c>
    </row>
    <row r="414" spans="1:5" x14ac:dyDescent="0.3">
      <c r="A414">
        <v>259</v>
      </c>
      <c r="B414" t="s">
        <v>27</v>
      </c>
      <c r="C414" t="s">
        <v>84</v>
      </c>
      <c r="D414">
        <v>24</v>
      </c>
      <c r="E414" t="s">
        <v>312</v>
      </c>
    </row>
    <row r="415" spans="1:5" x14ac:dyDescent="0.3">
      <c r="A415">
        <v>260</v>
      </c>
      <c r="B415" t="s">
        <v>74</v>
      </c>
      <c r="C415" t="s">
        <v>65</v>
      </c>
      <c r="D415">
        <v>1</v>
      </c>
      <c r="E415" t="s">
        <v>269</v>
      </c>
    </row>
    <row r="416" spans="1:5" x14ac:dyDescent="0.3">
      <c r="A416">
        <v>260</v>
      </c>
      <c r="B416" t="s">
        <v>20</v>
      </c>
      <c r="C416" t="s">
        <v>65</v>
      </c>
      <c r="D416">
        <v>4</v>
      </c>
      <c r="E416" t="s">
        <v>298</v>
      </c>
    </row>
    <row r="417" spans="1:5" x14ac:dyDescent="0.3">
      <c r="A417">
        <v>260</v>
      </c>
      <c r="B417" t="s">
        <v>9</v>
      </c>
      <c r="C417" t="s">
        <v>37</v>
      </c>
      <c r="D417">
        <v>48</v>
      </c>
      <c r="E417" t="s">
        <v>276</v>
      </c>
    </row>
    <row r="418" spans="1:5" x14ac:dyDescent="0.3">
      <c r="A418">
        <v>260</v>
      </c>
      <c r="B418" t="s">
        <v>12</v>
      </c>
      <c r="C418" t="s">
        <v>37</v>
      </c>
      <c r="D418">
        <v>1</v>
      </c>
      <c r="E418" t="s">
        <v>261</v>
      </c>
    </row>
    <row r="419" spans="1:5" x14ac:dyDescent="0.3">
      <c r="A419">
        <v>260</v>
      </c>
      <c r="B419" t="s">
        <v>19</v>
      </c>
      <c r="C419" t="s">
        <v>65</v>
      </c>
      <c r="D419">
        <v>4</v>
      </c>
      <c r="E419" t="s">
        <v>297</v>
      </c>
    </row>
    <row r="420" spans="1:5" x14ac:dyDescent="0.3">
      <c r="A420">
        <v>260</v>
      </c>
      <c r="B420" t="s">
        <v>7</v>
      </c>
      <c r="C420" t="s">
        <v>36</v>
      </c>
      <c r="D420">
        <v>22</v>
      </c>
      <c r="E420" t="s">
        <v>249</v>
      </c>
    </row>
    <row r="421" spans="1:5" x14ac:dyDescent="0.3">
      <c r="A421">
        <v>260</v>
      </c>
      <c r="B421" t="s">
        <v>5</v>
      </c>
      <c r="C421" t="s">
        <v>36</v>
      </c>
      <c r="D421">
        <v>2</v>
      </c>
      <c r="E421" t="s">
        <v>260</v>
      </c>
    </row>
    <row r="422" spans="1:5" x14ac:dyDescent="0.3">
      <c r="A422">
        <v>260</v>
      </c>
      <c r="B422" t="s">
        <v>24</v>
      </c>
      <c r="C422" t="s">
        <v>84</v>
      </c>
      <c r="D422">
        <v>16</v>
      </c>
      <c r="E422" t="s">
        <v>313</v>
      </c>
    </row>
    <row r="423" spans="1:5" x14ac:dyDescent="0.3">
      <c r="A423">
        <v>260</v>
      </c>
      <c r="B423" t="s">
        <v>80</v>
      </c>
      <c r="C423" t="s">
        <v>68</v>
      </c>
      <c r="D423">
        <v>1</v>
      </c>
      <c r="E423" t="s">
        <v>337</v>
      </c>
    </row>
    <row r="424" spans="1:5" x14ac:dyDescent="0.3">
      <c r="A424">
        <v>260</v>
      </c>
      <c r="B424" t="s">
        <v>38</v>
      </c>
      <c r="C424" t="s">
        <v>68</v>
      </c>
      <c r="D424">
        <v>1</v>
      </c>
      <c r="E424" t="s">
        <v>344</v>
      </c>
    </row>
    <row r="425" spans="1:5" x14ac:dyDescent="0.3">
      <c r="A425">
        <v>260</v>
      </c>
      <c r="B425" t="s">
        <v>6</v>
      </c>
      <c r="C425" t="s">
        <v>36</v>
      </c>
      <c r="D425">
        <v>21</v>
      </c>
      <c r="E425" t="s">
        <v>249</v>
      </c>
    </row>
    <row r="426" spans="1:5" x14ac:dyDescent="0.3">
      <c r="A426">
        <v>260</v>
      </c>
      <c r="B426" t="s">
        <v>78</v>
      </c>
      <c r="C426" t="s">
        <v>37</v>
      </c>
      <c r="D426">
        <v>1</v>
      </c>
      <c r="E426" t="s">
        <v>269</v>
      </c>
    </row>
    <row r="427" spans="1:5" x14ac:dyDescent="0.3">
      <c r="A427">
        <v>260</v>
      </c>
      <c r="B427" t="s">
        <v>76</v>
      </c>
      <c r="C427" t="s">
        <v>68</v>
      </c>
      <c r="D427">
        <v>1</v>
      </c>
      <c r="E427" t="s">
        <v>94</v>
      </c>
    </row>
    <row r="428" spans="1:5" x14ac:dyDescent="0.3">
      <c r="A428">
        <v>260</v>
      </c>
      <c r="B428" t="s">
        <v>27</v>
      </c>
      <c r="C428" t="s">
        <v>84</v>
      </c>
      <c r="D428">
        <v>10</v>
      </c>
      <c r="E428" t="s">
        <v>217</v>
      </c>
    </row>
    <row r="429" spans="1:5" x14ac:dyDescent="0.3">
      <c r="A429">
        <v>260</v>
      </c>
      <c r="B429" t="s">
        <v>35</v>
      </c>
      <c r="C429" t="s">
        <v>68</v>
      </c>
      <c r="D429">
        <v>2</v>
      </c>
      <c r="E429" t="s">
        <v>345</v>
      </c>
    </row>
    <row r="430" spans="1:5" x14ac:dyDescent="0.3">
      <c r="A430">
        <v>260</v>
      </c>
      <c r="B430" t="s">
        <v>33</v>
      </c>
      <c r="C430" t="s">
        <v>68</v>
      </c>
      <c r="D430">
        <v>1</v>
      </c>
      <c r="E430" t="s">
        <v>335</v>
      </c>
    </row>
    <row r="431" spans="1:5" x14ac:dyDescent="0.3">
      <c r="A431">
        <v>261</v>
      </c>
      <c r="B431" t="s">
        <v>6</v>
      </c>
      <c r="C431" t="s">
        <v>36</v>
      </c>
      <c r="D431">
        <v>13</v>
      </c>
      <c r="E431" t="s">
        <v>249</v>
      </c>
    </row>
    <row r="432" spans="1:5" x14ac:dyDescent="0.3">
      <c r="A432">
        <v>261</v>
      </c>
      <c r="B432" t="s">
        <v>78</v>
      </c>
      <c r="C432" t="s">
        <v>37</v>
      </c>
      <c r="D432">
        <v>1</v>
      </c>
      <c r="E432" t="s">
        <v>217</v>
      </c>
    </row>
    <row r="433" spans="1:5" x14ac:dyDescent="0.3">
      <c r="A433">
        <v>261</v>
      </c>
      <c r="B433" t="s">
        <v>77</v>
      </c>
      <c r="C433" t="s">
        <v>65</v>
      </c>
      <c r="D433">
        <v>2</v>
      </c>
      <c r="E433" t="s">
        <v>277</v>
      </c>
    </row>
    <row r="434" spans="1:5" x14ac:dyDescent="0.3">
      <c r="A434">
        <v>261</v>
      </c>
      <c r="B434" t="s">
        <v>74</v>
      </c>
      <c r="C434" t="s">
        <v>65</v>
      </c>
      <c r="D434">
        <v>1</v>
      </c>
      <c r="E434" t="s">
        <v>124</v>
      </c>
    </row>
    <row r="435" spans="1:5" x14ac:dyDescent="0.3">
      <c r="A435">
        <v>261</v>
      </c>
      <c r="B435" t="s">
        <v>33</v>
      </c>
      <c r="C435" t="s">
        <v>68</v>
      </c>
      <c r="D435">
        <v>0</v>
      </c>
      <c r="E435" t="s">
        <v>314</v>
      </c>
    </row>
    <row r="436" spans="1:5" x14ac:dyDescent="0.3">
      <c r="A436">
        <v>261</v>
      </c>
      <c r="B436" t="s">
        <v>30</v>
      </c>
      <c r="C436" t="s">
        <v>68</v>
      </c>
      <c r="D436">
        <v>94</v>
      </c>
      <c r="E436" t="s">
        <v>312</v>
      </c>
    </row>
    <row r="437" spans="1:5" x14ac:dyDescent="0.3">
      <c r="A437">
        <v>261</v>
      </c>
      <c r="B437" t="s">
        <v>27</v>
      </c>
      <c r="C437" t="s">
        <v>84</v>
      </c>
      <c r="D437">
        <v>14</v>
      </c>
      <c r="E437" t="s">
        <v>299</v>
      </c>
    </row>
    <row r="438" spans="1:5" x14ac:dyDescent="0.3">
      <c r="A438">
        <v>261</v>
      </c>
      <c r="B438" t="s">
        <v>23</v>
      </c>
      <c r="C438" t="s">
        <v>65</v>
      </c>
      <c r="D438">
        <v>2</v>
      </c>
      <c r="E438" t="s">
        <v>114</v>
      </c>
    </row>
    <row r="439" spans="1:5" x14ac:dyDescent="0.3">
      <c r="A439">
        <v>261</v>
      </c>
      <c r="B439" t="s">
        <v>21</v>
      </c>
      <c r="C439" t="s">
        <v>65</v>
      </c>
      <c r="D439">
        <v>1</v>
      </c>
      <c r="E439" t="s">
        <v>228</v>
      </c>
    </row>
    <row r="440" spans="1:5" x14ac:dyDescent="0.3">
      <c r="A440">
        <v>261</v>
      </c>
      <c r="B440" t="s">
        <v>20</v>
      </c>
      <c r="C440" t="s">
        <v>65</v>
      </c>
      <c r="D440">
        <v>0</v>
      </c>
      <c r="E440" t="s">
        <v>273</v>
      </c>
    </row>
    <row r="441" spans="1:5" x14ac:dyDescent="0.3">
      <c r="A441">
        <v>261</v>
      </c>
      <c r="B441" t="s">
        <v>10</v>
      </c>
      <c r="C441" t="s">
        <v>37</v>
      </c>
      <c r="D441">
        <v>0</v>
      </c>
      <c r="E441" t="s">
        <v>272</v>
      </c>
    </row>
    <row r="442" spans="1:5" x14ac:dyDescent="0.3">
      <c r="A442">
        <v>261</v>
      </c>
      <c r="B442" t="s">
        <v>76</v>
      </c>
      <c r="C442" t="s">
        <v>68</v>
      </c>
      <c r="D442">
        <v>1</v>
      </c>
      <c r="E442" t="s">
        <v>81</v>
      </c>
    </row>
    <row r="443" spans="1:5" x14ac:dyDescent="0.3">
      <c r="A443">
        <v>261</v>
      </c>
      <c r="B443" t="s">
        <v>7</v>
      </c>
      <c r="C443" t="s">
        <v>36</v>
      </c>
      <c r="D443">
        <v>13</v>
      </c>
      <c r="E443" t="s">
        <v>249</v>
      </c>
    </row>
    <row r="444" spans="1:5" x14ac:dyDescent="0.3">
      <c r="A444">
        <v>261</v>
      </c>
      <c r="B444" t="s">
        <v>5</v>
      </c>
      <c r="C444" t="s">
        <v>36</v>
      </c>
      <c r="D444">
        <v>0</v>
      </c>
      <c r="E444" t="s">
        <v>262</v>
      </c>
    </row>
    <row r="445" spans="1:5" x14ac:dyDescent="0.3">
      <c r="A445">
        <v>262</v>
      </c>
      <c r="B445" t="s">
        <v>6</v>
      </c>
      <c r="C445" t="s">
        <v>36</v>
      </c>
      <c r="D445">
        <v>16</v>
      </c>
      <c r="E445" t="s">
        <v>264</v>
      </c>
    </row>
    <row r="446" spans="1:5" x14ac:dyDescent="0.3">
      <c r="A446">
        <v>262</v>
      </c>
      <c r="B446" t="s">
        <v>7</v>
      </c>
      <c r="C446" t="s">
        <v>36</v>
      </c>
      <c r="D446">
        <v>16</v>
      </c>
      <c r="E446" t="s">
        <v>264</v>
      </c>
    </row>
    <row r="447" spans="1:5" x14ac:dyDescent="0.3">
      <c r="A447">
        <v>262</v>
      </c>
      <c r="B447" t="s">
        <v>4</v>
      </c>
      <c r="C447" t="s">
        <v>36</v>
      </c>
      <c r="D447">
        <v>1</v>
      </c>
      <c r="E447" t="s">
        <v>263</v>
      </c>
    </row>
    <row r="448" spans="1:5" x14ac:dyDescent="0.3">
      <c r="A448">
        <v>262</v>
      </c>
      <c r="B448" t="s">
        <v>19</v>
      </c>
      <c r="C448" t="s">
        <v>65</v>
      </c>
      <c r="D448">
        <v>4</v>
      </c>
      <c r="E448" t="s">
        <v>274</v>
      </c>
    </row>
    <row r="449" spans="1:5" x14ac:dyDescent="0.3">
      <c r="A449">
        <v>262</v>
      </c>
      <c r="B449" t="s">
        <v>23</v>
      </c>
      <c r="C449" t="s">
        <v>65</v>
      </c>
      <c r="D449">
        <v>12</v>
      </c>
      <c r="E449" t="s">
        <v>301</v>
      </c>
    </row>
    <row r="450" spans="1:5" x14ac:dyDescent="0.3">
      <c r="A450">
        <v>262</v>
      </c>
      <c r="B450" t="s">
        <v>27</v>
      </c>
      <c r="C450" t="s">
        <v>84</v>
      </c>
      <c r="D450">
        <v>0</v>
      </c>
      <c r="E450" t="s">
        <v>300</v>
      </c>
    </row>
    <row r="451" spans="1:5" x14ac:dyDescent="0.3">
      <c r="A451">
        <v>262</v>
      </c>
      <c r="B451" t="s">
        <v>33</v>
      </c>
      <c r="C451" t="s">
        <v>68</v>
      </c>
      <c r="D451">
        <v>1</v>
      </c>
      <c r="E451" t="s">
        <v>124</v>
      </c>
    </row>
    <row r="452" spans="1:5" x14ac:dyDescent="0.3">
      <c r="A452">
        <v>262</v>
      </c>
      <c r="B452" t="s">
        <v>35</v>
      </c>
      <c r="C452" t="s">
        <v>68</v>
      </c>
      <c r="D452">
        <v>2</v>
      </c>
      <c r="E452" t="s">
        <v>302</v>
      </c>
    </row>
    <row r="453" spans="1:5" x14ac:dyDescent="0.3">
      <c r="A453">
        <v>262</v>
      </c>
      <c r="B453" t="s">
        <v>74</v>
      </c>
      <c r="C453" t="s">
        <v>65</v>
      </c>
      <c r="D453">
        <v>1</v>
      </c>
      <c r="E453" t="s">
        <v>228</v>
      </c>
    </row>
    <row r="454" spans="1:5" x14ac:dyDescent="0.3">
      <c r="A454">
        <v>262</v>
      </c>
      <c r="B454" t="s">
        <v>78</v>
      </c>
      <c r="C454" t="s">
        <v>37</v>
      </c>
      <c r="D454">
        <v>1</v>
      </c>
      <c r="E454" t="s">
        <v>124</v>
      </c>
    </row>
    <row r="455" spans="1:5" x14ac:dyDescent="0.3">
      <c r="A455">
        <v>262</v>
      </c>
      <c r="B455" t="s">
        <v>76</v>
      </c>
      <c r="C455" t="s">
        <v>68</v>
      </c>
      <c r="D455">
        <v>1</v>
      </c>
      <c r="E455" t="s">
        <v>269</v>
      </c>
    </row>
    <row r="456" spans="1:5" x14ac:dyDescent="0.3">
      <c r="A456">
        <v>263</v>
      </c>
      <c r="B456" t="s">
        <v>25</v>
      </c>
      <c r="C456" t="s">
        <v>84</v>
      </c>
      <c r="D456">
        <v>46</v>
      </c>
      <c r="E456" t="s">
        <v>346</v>
      </c>
    </row>
    <row r="457" spans="1:5" x14ac:dyDescent="0.3">
      <c r="A457">
        <v>263</v>
      </c>
      <c r="B457" t="s">
        <v>10</v>
      </c>
      <c r="C457" t="s">
        <v>37</v>
      </c>
      <c r="D457">
        <v>1</v>
      </c>
      <c r="E457" t="s">
        <v>303</v>
      </c>
    </row>
    <row r="458" spans="1:5" x14ac:dyDescent="0.3">
      <c r="A458">
        <v>263</v>
      </c>
      <c r="B458" t="s">
        <v>19</v>
      </c>
      <c r="C458" t="s">
        <v>65</v>
      </c>
      <c r="D458">
        <v>3</v>
      </c>
      <c r="E458" t="s">
        <v>310</v>
      </c>
    </row>
    <row r="459" spans="1:5" x14ac:dyDescent="0.3">
      <c r="A459">
        <v>263</v>
      </c>
      <c r="B459" t="s">
        <v>21</v>
      </c>
      <c r="C459" t="s">
        <v>65</v>
      </c>
      <c r="D459">
        <v>4</v>
      </c>
      <c r="E459" t="s">
        <v>315</v>
      </c>
    </row>
    <row r="460" spans="1:5" x14ac:dyDescent="0.3">
      <c r="A460">
        <v>263</v>
      </c>
      <c r="B460" t="s">
        <v>23</v>
      </c>
      <c r="C460" t="s">
        <v>65</v>
      </c>
      <c r="D460">
        <v>2</v>
      </c>
      <c r="E460" t="s">
        <v>317</v>
      </c>
    </row>
    <row r="461" spans="1:5" x14ac:dyDescent="0.3">
      <c r="A461">
        <v>263</v>
      </c>
      <c r="B461" t="s">
        <v>27</v>
      </c>
      <c r="C461" t="s">
        <v>84</v>
      </c>
      <c r="D461">
        <v>19</v>
      </c>
      <c r="E461" t="s">
        <v>334</v>
      </c>
    </row>
    <row r="462" spans="1:5" x14ac:dyDescent="0.3">
      <c r="A462">
        <v>263</v>
      </c>
      <c r="B462" t="s">
        <v>33</v>
      </c>
      <c r="C462" t="s">
        <v>68</v>
      </c>
      <c r="D462">
        <v>1</v>
      </c>
      <c r="E462" t="s">
        <v>217</v>
      </c>
    </row>
    <row r="463" spans="1:5" x14ac:dyDescent="0.3">
      <c r="A463">
        <v>263</v>
      </c>
      <c r="B463" t="s">
        <v>74</v>
      </c>
      <c r="C463" t="s">
        <v>65</v>
      </c>
      <c r="D463">
        <v>1</v>
      </c>
      <c r="E463" t="s">
        <v>228</v>
      </c>
    </row>
    <row r="464" spans="1:5" x14ac:dyDescent="0.3">
      <c r="A464">
        <v>263</v>
      </c>
      <c r="B464" t="s">
        <v>77</v>
      </c>
      <c r="C464" t="s">
        <v>65</v>
      </c>
      <c r="D464">
        <v>1</v>
      </c>
      <c r="E464" t="s">
        <v>226</v>
      </c>
    </row>
    <row r="465" spans="1:5" x14ac:dyDescent="0.3">
      <c r="A465">
        <v>263</v>
      </c>
      <c r="B465" t="s">
        <v>78</v>
      </c>
      <c r="C465" t="s">
        <v>37</v>
      </c>
      <c r="D465">
        <v>1</v>
      </c>
      <c r="E465" t="s">
        <v>269</v>
      </c>
    </row>
    <row r="466" spans="1:5" x14ac:dyDescent="0.3">
      <c r="A466">
        <v>263</v>
      </c>
      <c r="B466" t="s">
        <v>76</v>
      </c>
      <c r="C466" t="s">
        <v>68</v>
      </c>
      <c r="D466">
        <v>1</v>
      </c>
      <c r="E466" t="s">
        <v>81</v>
      </c>
    </row>
    <row r="467" spans="1:5" x14ac:dyDescent="0.3">
      <c r="A467">
        <v>263</v>
      </c>
      <c r="B467" t="s">
        <v>75</v>
      </c>
      <c r="C467" t="s">
        <v>65</v>
      </c>
      <c r="D467">
        <v>3</v>
      </c>
      <c r="E467" t="s">
        <v>316</v>
      </c>
    </row>
    <row r="468" spans="1:5" x14ac:dyDescent="0.3">
      <c r="A468">
        <v>264</v>
      </c>
      <c r="B468" t="s">
        <v>74</v>
      </c>
      <c r="C468" t="s">
        <v>65</v>
      </c>
      <c r="D468">
        <v>5</v>
      </c>
      <c r="E468" t="s">
        <v>282</v>
      </c>
    </row>
    <row r="469" spans="1:5" x14ac:dyDescent="0.3">
      <c r="A469">
        <v>264</v>
      </c>
      <c r="B469" t="s">
        <v>5</v>
      </c>
      <c r="C469" t="s">
        <v>36</v>
      </c>
      <c r="D469">
        <v>0</v>
      </c>
      <c r="E469" t="s">
        <v>265</v>
      </c>
    </row>
    <row r="470" spans="1:5" x14ac:dyDescent="0.3">
      <c r="A470">
        <v>264</v>
      </c>
      <c r="B470" t="s">
        <v>78</v>
      </c>
      <c r="C470" t="s">
        <v>37</v>
      </c>
      <c r="D470">
        <v>1</v>
      </c>
      <c r="E470" t="s">
        <v>81</v>
      </c>
    </row>
    <row r="471" spans="1:5" x14ac:dyDescent="0.3">
      <c r="A471">
        <v>264</v>
      </c>
      <c r="B471" t="s">
        <v>38</v>
      </c>
      <c r="C471" t="s">
        <v>68</v>
      </c>
      <c r="D471">
        <v>0</v>
      </c>
      <c r="E471" t="s">
        <v>363</v>
      </c>
    </row>
    <row r="472" spans="1:5" x14ac:dyDescent="0.3">
      <c r="A472">
        <v>264</v>
      </c>
      <c r="B472" t="s">
        <v>4</v>
      </c>
      <c r="C472" t="s">
        <v>36</v>
      </c>
      <c r="D472">
        <v>0</v>
      </c>
      <c r="E472" t="s">
        <v>265</v>
      </c>
    </row>
    <row r="473" spans="1:5" x14ac:dyDescent="0.3">
      <c r="A473">
        <v>264</v>
      </c>
      <c r="B473" t="s">
        <v>26</v>
      </c>
      <c r="C473" t="s">
        <v>84</v>
      </c>
      <c r="D473">
        <v>2</v>
      </c>
      <c r="E473" t="s">
        <v>332</v>
      </c>
    </row>
    <row r="474" spans="1:5" x14ac:dyDescent="0.3">
      <c r="A474">
        <v>264</v>
      </c>
      <c r="B474" t="s">
        <v>76</v>
      </c>
      <c r="C474" t="s">
        <v>68</v>
      </c>
      <c r="D474">
        <v>1</v>
      </c>
      <c r="E474" t="s">
        <v>362</v>
      </c>
    </row>
    <row r="475" spans="1:5" x14ac:dyDescent="0.3">
      <c r="A475">
        <v>264</v>
      </c>
      <c r="B475" t="s">
        <v>10</v>
      </c>
      <c r="C475" t="s">
        <v>37</v>
      </c>
      <c r="D475">
        <v>7</v>
      </c>
      <c r="E475" t="s">
        <v>305</v>
      </c>
    </row>
    <row r="476" spans="1:5" x14ac:dyDescent="0.3">
      <c r="A476">
        <v>264</v>
      </c>
      <c r="B476" t="s">
        <v>33</v>
      </c>
      <c r="C476" t="s">
        <v>68</v>
      </c>
      <c r="D476">
        <v>1</v>
      </c>
      <c r="E476" t="s">
        <v>124</v>
      </c>
    </row>
    <row r="477" spans="1:5" x14ac:dyDescent="0.3">
      <c r="A477">
        <v>264</v>
      </c>
      <c r="B477" t="s">
        <v>21</v>
      </c>
      <c r="C477" t="s">
        <v>65</v>
      </c>
      <c r="D477">
        <v>8</v>
      </c>
      <c r="E477" t="s">
        <v>282</v>
      </c>
    </row>
    <row r="478" spans="1:5" x14ac:dyDescent="0.3">
      <c r="A478">
        <v>264</v>
      </c>
      <c r="B478" t="s">
        <v>20</v>
      </c>
      <c r="C478" t="s">
        <v>65</v>
      </c>
      <c r="D478">
        <v>2</v>
      </c>
      <c r="E478" t="s">
        <v>226</v>
      </c>
    </row>
    <row r="479" spans="1:5" x14ac:dyDescent="0.3">
      <c r="A479">
        <v>264</v>
      </c>
      <c r="B479" t="s">
        <v>19</v>
      </c>
      <c r="C479" t="s">
        <v>65</v>
      </c>
      <c r="D479">
        <v>8</v>
      </c>
      <c r="E479" t="s">
        <v>282</v>
      </c>
    </row>
    <row r="480" spans="1:5" x14ac:dyDescent="0.3">
      <c r="A480">
        <v>264</v>
      </c>
      <c r="B480" t="s">
        <v>12</v>
      </c>
      <c r="C480" t="s">
        <v>37</v>
      </c>
      <c r="D480">
        <v>1</v>
      </c>
      <c r="E480" t="s">
        <v>304</v>
      </c>
    </row>
    <row r="481" spans="1:5" x14ac:dyDescent="0.3">
      <c r="A481">
        <v>265</v>
      </c>
      <c r="B481" t="s">
        <v>33</v>
      </c>
      <c r="C481" t="s">
        <v>68</v>
      </c>
      <c r="D481">
        <v>1</v>
      </c>
      <c r="E481" t="s">
        <v>124</v>
      </c>
    </row>
    <row r="482" spans="1:5" x14ac:dyDescent="0.3">
      <c r="A482">
        <v>265</v>
      </c>
      <c r="B482" t="s">
        <v>17</v>
      </c>
      <c r="C482" t="s">
        <v>37</v>
      </c>
      <c r="D482">
        <v>27</v>
      </c>
      <c r="E482" t="s">
        <v>325</v>
      </c>
    </row>
    <row r="483" spans="1:5" x14ac:dyDescent="0.3">
      <c r="A483">
        <v>265</v>
      </c>
      <c r="B483" t="s">
        <v>35</v>
      </c>
      <c r="C483" t="s">
        <v>68</v>
      </c>
      <c r="D483">
        <v>2</v>
      </c>
      <c r="E483" t="s">
        <v>362</v>
      </c>
    </row>
    <row r="484" spans="1:5" x14ac:dyDescent="0.3">
      <c r="A484">
        <v>265</v>
      </c>
      <c r="B484" t="s">
        <v>38</v>
      </c>
      <c r="C484" t="s">
        <v>68</v>
      </c>
      <c r="D484">
        <v>15778500</v>
      </c>
      <c r="E484" t="s">
        <v>389</v>
      </c>
    </row>
    <row r="485" spans="1:5" x14ac:dyDescent="0.3">
      <c r="A485">
        <v>265</v>
      </c>
      <c r="B485" t="s">
        <v>74</v>
      </c>
      <c r="C485" t="s">
        <v>65</v>
      </c>
      <c r="D485">
        <v>1</v>
      </c>
      <c r="E485" t="s">
        <v>217</v>
      </c>
    </row>
    <row r="486" spans="1:5" x14ac:dyDescent="0.3">
      <c r="A486">
        <v>265</v>
      </c>
      <c r="B486" t="s">
        <v>78</v>
      </c>
      <c r="C486" t="s">
        <v>37</v>
      </c>
      <c r="D486">
        <v>1</v>
      </c>
      <c r="E486" t="s">
        <v>364</v>
      </c>
    </row>
    <row r="487" spans="1:5" x14ac:dyDescent="0.3">
      <c r="A487">
        <v>265</v>
      </c>
      <c r="B487" t="s">
        <v>5</v>
      </c>
      <c r="C487" t="s">
        <v>36</v>
      </c>
      <c r="D487">
        <v>0</v>
      </c>
      <c r="E487" t="s">
        <v>114</v>
      </c>
    </row>
    <row r="488" spans="1:5" x14ac:dyDescent="0.3">
      <c r="A488">
        <v>266</v>
      </c>
      <c r="B488" t="s">
        <v>76</v>
      </c>
      <c r="C488" t="s">
        <v>68</v>
      </c>
      <c r="D488">
        <v>15</v>
      </c>
      <c r="E488" t="s">
        <v>357</v>
      </c>
    </row>
    <row r="489" spans="1:5" x14ac:dyDescent="0.3">
      <c r="A489">
        <v>266</v>
      </c>
      <c r="B489" t="s">
        <v>6</v>
      </c>
      <c r="C489" t="s">
        <v>36</v>
      </c>
      <c r="D489">
        <v>34</v>
      </c>
      <c r="E489" t="s">
        <v>306</v>
      </c>
    </row>
    <row r="490" spans="1:5" x14ac:dyDescent="0.3">
      <c r="A490">
        <v>266</v>
      </c>
      <c r="B490" t="s">
        <v>33</v>
      </c>
      <c r="C490" t="s">
        <v>68</v>
      </c>
      <c r="D490">
        <v>1</v>
      </c>
      <c r="E490" t="s">
        <v>269</v>
      </c>
    </row>
    <row r="491" spans="1:5" x14ac:dyDescent="0.3">
      <c r="A491">
        <v>266</v>
      </c>
      <c r="B491" t="s">
        <v>19</v>
      </c>
      <c r="C491" t="s">
        <v>65</v>
      </c>
      <c r="D491">
        <v>6</v>
      </c>
      <c r="E491" t="s">
        <v>324</v>
      </c>
    </row>
    <row r="492" spans="1:5" x14ac:dyDescent="0.3">
      <c r="A492">
        <v>266</v>
      </c>
      <c r="B492" t="s">
        <v>20</v>
      </c>
      <c r="C492" t="s">
        <v>65</v>
      </c>
      <c r="D492">
        <v>6</v>
      </c>
      <c r="E492" t="s">
        <v>326</v>
      </c>
    </row>
    <row r="493" spans="1:5" x14ac:dyDescent="0.3">
      <c r="A493">
        <v>266</v>
      </c>
      <c r="B493" t="s">
        <v>23</v>
      </c>
      <c r="C493" t="s">
        <v>65</v>
      </c>
      <c r="D493">
        <v>5</v>
      </c>
      <c r="E493" t="s">
        <v>327</v>
      </c>
    </row>
    <row r="494" spans="1:5" x14ac:dyDescent="0.3">
      <c r="A494">
        <v>266</v>
      </c>
      <c r="B494" t="s">
        <v>7</v>
      </c>
      <c r="C494" t="s">
        <v>36</v>
      </c>
      <c r="D494">
        <v>34</v>
      </c>
      <c r="E494" t="s">
        <v>307</v>
      </c>
    </row>
    <row r="495" spans="1:5" x14ac:dyDescent="0.3">
      <c r="A495">
        <v>266</v>
      </c>
      <c r="B495" t="s">
        <v>26</v>
      </c>
      <c r="C495" t="s">
        <v>84</v>
      </c>
      <c r="D495">
        <v>0</v>
      </c>
      <c r="E495" t="s">
        <v>159</v>
      </c>
    </row>
    <row r="496" spans="1:5" x14ac:dyDescent="0.3">
      <c r="A496">
        <v>266</v>
      </c>
      <c r="B496" t="s">
        <v>78</v>
      </c>
      <c r="C496" t="s">
        <v>37</v>
      </c>
      <c r="D496">
        <v>0</v>
      </c>
      <c r="E496" t="s">
        <v>103</v>
      </c>
    </row>
    <row r="497" spans="1:5" x14ac:dyDescent="0.3">
      <c r="A497">
        <v>266</v>
      </c>
      <c r="B497" t="s">
        <v>74</v>
      </c>
      <c r="C497" t="s">
        <v>65</v>
      </c>
      <c r="D497">
        <v>3</v>
      </c>
      <c r="E497" t="s">
        <v>185</v>
      </c>
    </row>
    <row r="498" spans="1:5" x14ac:dyDescent="0.3">
      <c r="A498">
        <v>266</v>
      </c>
      <c r="B498" t="s">
        <v>10</v>
      </c>
      <c r="C498" t="s">
        <v>37</v>
      </c>
      <c r="D498">
        <v>1</v>
      </c>
      <c r="E498" t="s">
        <v>318</v>
      </c>
    </row>
    <row r="499" spans="1:5" x14ac:dyDescent="0.3">
      <c r="A499">
        <v>266</v>
      </c>
      <c r="B499" t="s">
        <v>77</v>
      </c>
      <c r="C499" t="s">
        <v>65</v>
      </c>
      <c r="D499">
        <v>2</v>
      </c>
      <c r="E499" t="s">
        <v>338</v>
      </c>
    </row>
    <row r="500" spans="1:5" x14ac:dyDescent="0.3">
      <c r="A500">
        <v>267</v>
      </c>
      <c r="B500" t="s">
        <v>29</v>
      </c>
      <c r="C500" t="s">
        <v>68</v>
      </c>
      <c r="D500">
        <v>0</v>
      </c>
      <c r="E500" t="s">
        <v>124</v>
      </c>
    </row>
    <row r="501" spans="1:5" x14ac:dyDescent="0.3">
      <c r="A501">
        <v>267</v>
      </c>
      <c r="B501" t="s">
        <v>27</v>
      </c>
      <c r="C501" t="s">
        <v>84</v>
      </c>
      <c r="D501">
        <v>1</v>
      </c>
      <c r="E501" t="s">
        <v>365</v>
      </c>
    </row>
    <row r="502" spans="1:5" x14ac:dyDescent="0.3">
      <c r="A502">
        <v>267</v>
      </c>
      <c r="B502" t="s">
        <v>23</v>
      </c>
      <c r="C502" t="s">
        <v>65</v>
      </c>
      <c r="D502">
        <v>1</v>
      </c>
      <c r="E502" t="s">
        <v>339</v>
      </c>
    </row>
    <row r="503" spans="1:5" x14ac:dyDescent="0.3">
      <c r="A503">
        <v>267</v>
      </c>
      <c r="B503" t="s">
        <v>21</v>
      </c>
      <c r="C503" t="s">
        <v>65</v>
      </c>
      <c r="D503">
        <v>4</v>
      </c>
      <c r="E503" t="s">
        <v>340</v>
      </c>
    </row>
    <row r="504" spans="1:5" x14ac:dyDescent="0.3">
      <c r="A504">
        <v>267</v>
      </c>
      <c r="B504" t="s">
        <v>20</v>
      </c>
      <c r="C504" t="s">
        <v>65</v>
      </c>
      <c r="D504">
        <v>0</v>
      </c>
      <c r="E504" t="s">
        <v>339</v>
      </c>
    </row>
    <row r="505" spans="1:5" x14ac:dyDescent="0.3">
      <c r="A505">
        <v>267</v>
      </c>
      <c r="B505" t="s">
        <v>10</v>
      </c>
      <c r="C505" t="s">
        <v>37</v>
      </c>
      <c r="D505">
        <v>10</v>
      </c>
      <c r="E505" t="s">
        <v>329</v>
      </c>
    </row>
    <row r="506" spans="1:5" x14ac:dyDescent="0.3">
      <c r="A506">
        <v>267</v>
      </c>
      <c r="B506" t="s">
        <v>7</v>
      </c>
      <c r="C506" t="s">
        <v>36</v>
      </c>
      <c r="D506">
        <v>99</v>
      </c>
      <c r="E506" t="s">
        <v>328</v>
      </c>
    </row>
    <row r="507" spans="1:5" x14ac:dyDescent="0.3">
      <c r="A507">
        <v>267</v>
      </c>
      <c r="B507" t="s">
        <v>77</v>
      </c>
      <c r="C507" t="s">
        <v>65</v>
      </c>
      <c r="D507">
        <v>2</v>
      </c>
      <c r="E507" t="s">
        <v>347</v>
      </c>
    </row>
    <row r="508" spans="1:5" x14ac:dyDescent="0.3">
      <c r="A508">
        <v>267</v>
      </c>
      <c r="B508" t="s">
        <v>33</v>
      </c>
      <c r="C508" t="s">
        <v>68</v>
      </c>
      <c r="D508">
        <v>1</v>
      </c>
      <c r="E508" t="s">
        <v>124</v>
      </c>
    </row>
    <row r="509" spans="1:5" x14ac:dyDescent="0.3">
      <c r="A509">
        <v>267</v>
      </c>
      <c r="B509" t="s">
        <v>78</v>
      </c>
      <c r="C509" t="s">
        <v>37</v>
      </c>
      <c r="D509">
        <v>1</v>
      </c>
      <c r="E509" t="s">
        <v>269</v>
      </c>
    </row>
    <row r="510" spans="1:5" x14ac:dyDescent="0.3">
      <c r="A510">
        <v>267</v>
      </c>
      <c r="B510" t="s">
        <v>6</v>
      </c>
      <c r="C510" t="s">
        <v>36</v>
      </c>
      <c r="D510">
        <v>30</v>
      </c>
      <c r="E510" t="s">
        <v>319</v>
      </c>
    </row>
    <row r="511" spans="1:5" x14ac:dyDescent="0.3">
      <c r="A511">
        <v>267</v>
      </c>
      <c r="B511" t="s">
        <v>76</v>
      </c>
      <c r="C511" t="s">
        <v>68</v>
      </c>
      <c r="D511">
        <v>1</v>
      </c>
      <c r="E511" t="s">
        <v>269</v>
      </c>
    </row>
    <row r="512" spans="1:5" x14ac:dyDescent="0.3">
      <c r="A512">
        <v>267</v>
      </c>
      <c r="B512" t="s">
        <v>9</v>
      </c>
      <c r="C512" t="s">
        <v>37</v>
      </c>
      <c r="D512">
        <v>1</v>
      </c>
      <c r="E512" t="s">
        <v>318</v>
      </c>
    </row>
    <row r="513" spans="1:5" x14ac:dyDescent="0.3">
      <c r="A513">
        <v>267</v>
      </c>
      <c r="B513" t="s">
        <v>34</v>
      </c>
      <c r="C513" t="s">
        <v>68</v>
      </c>
      <c r="D513">
        <v>0</v>
      </c>
      <c r="E513" t="s">
        <v>124</v>
      </c>
    </row>
    <row r="514" spans="1:5" x14ac:dyDescent="0.3">
      <c r="A514">
        <v>268</v>
      </c>
      <c r="B514" t="s">
        <v>9</v>
      </c>
      <c r="C514" t="s">
        <v>37</v>
      </c>
      <c r="D514">
        <v>19</v>
      </c>
      <c r="E514" t="s">
        <v>348</v>
      </c>
    </row>
    <row r="515" spans="1:5" x14ac:dyDescent="0.3">
      <c r="A515">
        <v>268</v>
      </c>
      <c r="B515" t="s">
        <v>19</v>
      </c>
      <c r="C515" t="s">
        <v>65</v>
      </c>
      <c r="D515">
        <v>1</v>
      </c>
      <c r="E515" t="s">
        <v>410</v>
      </c>
    </row>
    <row r="516" spans="1:5" x14ac:dyDescent="0.3">
      <c r="A516">
        <v>268</v>
      </c>
      <c r="B516" t="s">
        <v>28</v>
      </c>
      <c r="C516" t="s">
        <v>68</v>
      </c>
      <c r="D516">
        <v>0</v>
      </c>
      <c r="E516" t="s">
        <v>390</v>
      </c>
    </row>
    <row r="517" spans="1:5" x14ac:dyDescent="0.3">
      <c r="A517">
        <v>268</v>
      </c>
      <c r="B517" t="s">
        <v>29</v>
      </c>
      <c r="C517" t="s">
        <v>68</v>
      </c>
      <c r="D517">
        <v>0</v>
      </c>
      <c r="E517" t="s">
        <v>124</v>
      </c>
    </row>
    <row r="518" spans="1:5" x14ac:dyDescent="0.3">
      <c r="A518">
        <v>268</v>
      </c>
      <c r="B518" t="s">
        <v>7</v>
      </c>
      <c r="C518" t="s">
        <v>36</v>
      </c>
      <c r="D518">
        <v>6</v>
      </c>
      <c r="E518" t="s">
        <v>249</v>
      </c>
    </row>
    <row r="519" spans="1:5" x14ac:dyDescent="0.3">
      <c r="A519">
        <v>268</v>
      </c>
      <c r="B519" t="s">
        <v>74</v>
      </c>
      <c r="C519" t="s">
        <v>65</v>
      </c>
      <c r="D519">
        <v>1</v>
      </c>
      <c r="E519" t="s">
        <v>124</v>
      </c>
    </row>
    <row r="520" spans="1:5" x14ac:dyDescent="0.3">
      <c r="A520">
        <v>268</v>
      </c>
      <c r="B520" t="s">
        <v>78</v>
      </c>
      <c r="C520" t="s">
        <v>37</v>
      </c>
      <c r="D520">
        <v>1</v>
      </c>
      <c r="E520" t="s">
        <v>400</v>
      </c>
    </row>
    <row r="521" spans="1:5" x14ac:dyDescent="0.3">
      <c r="A521">
        <v>268</v>
      </c>
      <c r="B521" t="s">
        <v>4</v>
      </c>
      <c r="C521" t="s">
        <v>36</v>
      </c>
      <c r="D521">
        <v>0</v>
      </c>
      <c r="E521" t="s">
        <v>309</v>
      </c>
    </row>
    <row r="522" spans="1:5" x14ac:dyDescent="0.3">
      <c r="A522">
        <v>268</v>
      </c>
      <c r="B522" t="s">
        <v>76</v>
      </c>
      <c r="C522" t="s">
        <v>68</v>
      </c>
      <c r="D522">
        <v>1</v>
      </c>
      <c r="E522" t="s">
        <v>124</v>
      </c>
    </row>
    <row r="523" spans="1:5" x14ac:dyDescent="0.3">
      <c r="A523">
        <v>268</v>
      </c>
      <c r="B523" t="s">
        <v>35</v>
      </c>
      <c r="C523" t="s">
        <v>68</v>
      </c>
      <c r="D523">
        <v>18</v>
      </c>
      <c r="E523" t="s">
        <v>416</v>
      </c>
    </row>
    <row r="524" spans="1:5" x14ac:dyDescent="0.3">
      <c r="A524">
        <v>268</v>
      </c>
      <c r="B524" t="s">
        <v>77</v>
      </c>
      <c r="C524" t="s">
        <v>65</v>
      </c>
      <c r="D524">
        <v>1</v>
      </c>
      <c r="E524" t="s">
        <v>140</v>
      </c>
    </row>
    <row r="525" spans="1:5" x14ac:dyDescent="0.3">
      <c r="A525">
        <v>268</v>
      </c>
      <c r="B525" t="s">
        <v>6</v>
      </c>
      <c r="C525" t="s">
        <v>36</v>
      </c>
      <c r="D525">
        <v>6</v>
      </c>
      <c r="E525" t="s">
        <v>308</v>
      </c>
    </row>
    <row r="526" spans="1:5" x14ac:dyDescent="0.3">
      <c r="A526">
        <v>269</v>
      </c>
      <c r="B526" t="s">
        <v>7</v>
      </c>
      <c r="C526" t="s">
        <v>36</v>
      </c>
      <c r="D526">
        <v>50</v>
      </c>
      <c r="E526" t="s">
        <v>321</v>
      </c>
    </row>
    <row r="527" spans="1:5" x14ac:dyDescent="0.3">
      <c r="A527">
        <v>269</v>
      </c>
      <c r="B527" t="s">
        <v>20</v>
      </c>
      <c r="C527" t="s">
        <v>65</v>
      </c>
      <c r="D527">
        <v>2</v>
      </c>
      <c r="E527" t="s">
        <v>217</v>
      </c>
    </row>
    <row r="528" spans="1:5" x14ac:dyDescent="0.3">
      <c r="A528">
        <v>269</v>
      </c>
      <c r="B528" t="s">
        <v>21</v>
      </c>
      <c r="C528" t="s">
        <v>65</v>
      </c>
      <c r="D528">
        <v>2</v>
      </c>
      <c r="E528" t="s">
        <v>217</v>
      </c>
    </row>
    <row r="529" spans="1:5" x14ac:dyDescent="0.3">
      <c r="A529">
        <v>269</v>
      </c>
      <c r="B529" t="s">
        <v>78</v>
      </c>
      <c r="C529" t="s">
        <v>37</v>
      </c>
      <c r="D529">
        <v>1</v>
      </c>
      <c r="E529" t="s">
        <v>378</v>
      </c>
    </row>
    <row r="530" spans="1:5" x14ac:dyDescent="0.3">
      <c r="A530">
        <v>269</v>
      </c>
      <c r="B530" t="s">
        <v>6</v>
      </c>
      <c r="C530" t="s">
        <v>36</v>
      </c>
      <c r="D530">
        <v>28</v>
      </c>
      <c r="E530" t="s">
        <v>320</v>
      </c>
    </row>
    <row r="531" spans="1:5" x14ac:dyDescent="0.3">
      <c r="A531">
        <v>269</v>
      </c>
      <c r="B531" t="s">
        <v>77</v>
      </c>
      <c r="C531" t="s">
        <v>65</v>
      </c>
      <c r="D531">
        <v>2</v>
      </c>
      <c r="E531" t="s">
        <v>236</v>
      </c>
    </row>
    <row r="532" spans="1:5" x14ac:dyDescent="0.3">
      <c r="A532">
        <v>269</v>
      </c>
      <c r="B532" t="s">
        <v>74</v>
      </c>
      <c r="C532" t="s">
        <v>65</v>
      </c>
      <c r="D532">
        <v>1</v>
      </c>
      <c r="E532" t="s">
        <v>379</v>
      </c>
    </row>
    <row r="533" spans="1:5" x14ac:dyDescent="0.3">
      <c r="A533">
        <v>269</v>
      </c>
      <c r="B533" t="s">
        <v>33</v>
      </c>
      <c r="C533" t="s">
        <v>68</v>
      </c>
      <c r="D533">
        <v>1</v>
      </c>
      <c r="E533" t="s">
        <v>217</v>
      </c>
    </row>
    <row r="534" spans="1:5" x14ac:dyDescent="0.3">
      <c r="A534">
        <v>269</v>
      </c>
      <c r="B534" t="s">
        <v>76</v>
      </c>
      <c r="C534" t="s">
        <v>68</v>
      </c>
      <c r="D534">
        <v>1</v>
      </c>
      <c r="E534" t="s">
        <v>362</v>
      </c>
    </row>
    <row r="535" spans="1:5" x14ac:dyDescent="0.3">
      <c r="A535">
        <v>269</v>
      </c>
      <c r="B535" t="s">
        <v>31</v>
      </c>
      <c r="C535" t="s">
        <v>68</v>
      </c>
      <c r="D535">
        <v>1</v>
      </c>
      <c r="E535" t="s">
        <v>365</v>
      </c>
    </row>
    <row r="536" spans="1:5" x14ac:dyDescent="0.3">
      <c r="A536">
        <v>270</v>
      </c>
      <c r="B536" t="s">
        <v>74</v>
      </c>
      <c r="C536" t="s">
        <v>65</v>
      </c>
      <c r="D536">
        <v>1</v>
      </c>
      <c r="E536" t="s">
        <v>228</v>
      </c>
    </row>
    <row r="537" spans="1:5" x14ac:dyDescent="0.3">
      <c r="A537">
        <v>270</v>
      </c>
      <c r="B537" t="s">
        <v>78</v>
      </c>
      <c r="C537" t="s">
        <v>37</v>
      </c>
      <c r="D537">
        <v>1</v>
      </c>
      <c r="E537" t="s">
        <v>341</v>
      </c>
    </row>
    <row r="538" spans="1:5" x14ac:dyDescent="0.3">
      <c r="A538">
        <v>270</v>
      </c>
      <c r="B538" t="s">
        <v>19</v>
      </c>
      <c r="C538" t="s">
        <v>65</v>
      </c>
      <c r="D538">
        <v>2</v>
      </c>
      <c r="E538" t="s">
        <v>349</v>
      </c>
    </row>
    <row r="539" spans="1:5" x14ac:dyDescent="0.3">
      <c r="A539">
        <v>270</v>
      </c>
      <c r="B539" t="s">
        <v>76</v>
      </c>
      <c r="C539" t="s">
        <v>68</v>
      </c>
      <c r="D539">
        <v>1</v>
      </c>
      <c r="E539" t="s">
        <v>335</v>
      </c>
    </row>
    <row r="540" spans="1:5" x14ac:dyDescent="0.3">
      <c r="A540">
        <v>270</v>
      </c>
      <c r="B540" t="s">
        <v>33</v>
      </c>
      <c r="C540" t="s">
        <v>68</v>
      </c>
      <c r="D540">
        <v>1</v>
      </c>
      <c r="E540" t="s">
        <v>335</v>
      </c>
    </row>
    <row r="541" spans="1:5" x14ac:dyDescent="0.3">
      <c r="A541">
        <v>271</v>
      </c>
      <c r="B541" t="s">
        <v>21</v>
      </c>
      <c r="C541" t="s">
        <v>65</v>
      </c>
      <c r="D541">
        <v>3</v>
      </c>
      <c r="E541" t="s">
        <v>366</v>
      </c>
    </row>
    <row r="542" spans="1:5" x14ac:dyDescent="0.3">
      <c r="A542">
        <v>271</v>
      </c>
      <c r="B542" t="s">
        <v>6</v>
      </c>
      <c r="C542" t="s">
        <v>36</v>
      </c>
      <c r="D542">
        <v>17</v>
      </c>
      <c r="E542" t="s">
        <v>322</v>
      </c>
    </row>
    <row r="543" spans="1:5" x14ac:dyDescent="0.3">
      <c r="A543">
        <v>271</v>
      </c>
      <c r="B543" t="s">
        <v>7</v>
      </c>
      <c r="C543" t="s">
        <v>36</v>
      </c>
      <c r="D543">
        <v>10</v>
      </c>
      <c r="E543" t="s">
        <v>322</v>
      </c>
    </row>
    <row r="544" spans="1:5" x14ac:dyDescent="0.3">
      <c r="A544">
        <v>271</v>
      </c>
      <c r="B544" t="s">
        <v>10</v>
      </c>
      <c r="C544" t="s">
        <v>37</v>
      </c>
      <c r="D544">
        <v>2</v>
      </c>
      <c r="E544" t="s">
        <v>350</v>
      </c>
    </row>
    <row r="545" spans="1:5" x14ac:dyDescent="0.3">
      <c r="A545">
        <v>271</v>
      </c>
      <c r="B545" t="s">
        <v>35</v>
      </c>
      <c r="C545" t="s">
        <v>68</v>
      </c>
      <c r="D545">
        <v>2</v>
      </c>
      <c r="E545" t="s">
        <v>86</v>
      </c>
    </row>
    <row r="546" spans="1:5" x14ac:dyDescent="0.3">
      <c r="A546">
        <v>271</v>
      </c>
      <c r="B546" t="s">
        <v>23</v>
      </c>
      <c r="C546" t="s">
        <v>65</v>
      </c>
      <c r="D546">
        <v>3</v>
      </c>
      <c r="E546" t="s">
        <v>366</v>
      </c>
    </row>
    <row r="547" spans="1:5" x14ac:dyDescent="0.3">
      <c r="A547">
        <v>271</v>
      </c>
      <c r="B547" t="s">
        <v>33</v>
      </c>
      <c r="C547" t="s">
        <v>68</v>
      </c>
      <c r="D547">
        <v>1</v>
      </c>
      <c r="E547" t="s">
        <v>217</v>
      </c>
    </row>
    <row r="548" spans="1:5" x14ac:dyDescent="0.3">
      <c r="A548">
        <v>271</v>
      </c>
      <c r="B548" t="s">
        <v>74</v>
      </c>
      <c r="C548" t="s">
        <v>65</v>
      </c>
      <c r="D548">
        <v>2</v>
      </c>
      <c r="E548" t="s">
        <v>340</v>
      </c>
    </row>
    <row r="549" spans="1:5" x14ac:dyDescent="0.3">
      <c r="A549">
        <v>271</v>
      </c>
      <c r="B549" t="s">
        <v>78</v>
      </c>
      <c r="C549" t="s">
        <v>37</v>
      </c>
      <c r="D549">
        <v>1</v>
      </c>
      <c r="E549" t="s">
        <v>335</v>
      </c>
    </row>
    <row r="550" spans="1:5" x14ac:dyDescent="0.3">
      <c r="A550">
        <v>271</v>
      </c>
      <c r="B550" t="s">
        <v>76</v>
      </c>
      <c r="C550" t="s">
        <v>68</v>
      </c>
      <c r="D550">
        <v>1</v>
      </c>
      <c r="E550" t="s">
        <v>335</v>
      </c>
    </row>
    <row r="551" spans="1:5" x14ac:dyDescent="0.3">
      <c r="A551">
        <v>271</v>
      </c>
      <c r="B551" t="s">
        <v>5</v>
      </c>
      <c r="C551" t="s">
        <v>36</v>
      </c>
      <c r="D551">
        <v>0</v>
      </c>
      <c r="E551" t="s">
        <v>330</v>
      </c>
    </row>
    <row r="552" spans="1:5" x14ac:dyDescent="0.3">
      <c r="A552">
        <v>271</v>
      </c>
      <c r="B552" t="s">
        <v>77</v>
      </c>
      <c r="C552" t="s">
        <v>65</v>
      </c>
      <c r="D552">
        <v>0</v>
      </c>
      <c r="E552" t="s">
        <v>367</v>
      </c>
    </row>
    <row r="553" spans="1:5" x14ac:dyDescent="0.3">
      <c r="A553">
        <v>272</v>
      </c>
      <c r="B553" t="s">
        <v>28</v>
      </c>
      <c r="C553" t="s">
        <v>68</v>
      </c>
      <c r="D553">
        <v>1</v>
      </c>
      <c r="E553" t="s">
        <v>392</v>
      </c>
    </row>
    <row r="554" spans="1:5" x14ac:dyDescent="0.3">
      <c r="A554">
        <v>272</v>
      </c>
      <c r="B554" t="s">
        <v>78</v>
      </c>
      <c r="C554" t="s">
        <v>37</v>
      </c>
      <c r="D554">
        <v>1</v>
      </c>
      <c r="E554" t="s">
        <v>335</v>
      </c>
    </row>
    <row r="555" spans="1:5" x14ac:dyDescent="0.3">
      <c r="A555">
        <v>272</v>
      </c>
      <c r="B555" t="s">
        <v>77</v>
      </c>
      <c r="C555" t="s">
        <v>65</v>
      </c>
      <c r="D555">
        <v>1</v>
      </c>
      <c r="E555" t="s">
        <v>94</v>
      </c>
    </row>
    <row r="556" spans="1:5" x14ac:dyDescent="0.3">
      <c r="A556">
        <v>272</v>
      </c>
      <c r="B556" t="s">
        <v>35</v>
      </c>
      <c r="C556" t="s">
        <v>68</v>
      </c>
      <c r="D556">
        <v>4</v>
      </c>
      <c r="E556" t="s">
        <v>417</v>
      </c>
    </row>
    <row r="557" spans="1:5" x14ac:dyDescent="0.3">
      <c r="A557">
        <v>272</v>
      </c>
      <c r="B557" t="s">
        <v>33</v>
      </c>
      <c r="C557" t="s">
        <v>68</v>
      </c>
      <c r="D557">
        <v>0</v>
      </c>
      <c r="E557" t="s">
        <v>362</v>
      </c>
    </row>
    <row r="558" spans="1:5" x14ac:dyDescent="0.3">
      <c r="A558">
        <v>272</v>
      </c>
      <c r="B558" t="s">
        <v>80</v>
      </c>
      <c r="C558" t="s">
        <v>68</v>
      </c>
      <c r="D558">
        <v>3</v>
      </c>
      <c r="E558" t="s">
        <v>394</v>
      </c>
    </row>
    <row r="559" spans="1:5" x14ac:dyDescent="0.3">
      <c r="A559">
        <v>272</v>
      </c>
      <c r="B559" t="s">
        <v>29</v>
      </c>
      <c r="C559" t="s">
        <v>68</v>
      </c>
      <c r="D559">
        <v>0</v>
      </c>
      <c r="E559" t="s">
        <v>360</v>
      </c>
    </row>
    <row r="560" spans="1:5" x14ac:dyDescent="0.3">
      <c r="A560">
        <v>272</v>
      </c>
      <c r="B560" t="s">
        <v>20</v>
      </c>
      <c r="C560" t="s">
        <v>65</v>
      </c>
      <c r="D560">
        <v>0</v>
      </c>
      <c r="E560" t="s">
        <v>391</v>
      </c>
    </row>
    <row r="561" spans="1:5" x14ac:dyDescent="0.3">
      <c r="A561">
        <v>272</v>
      </c>
      <c r="B561" t="s">
        <v>12</v>
      </c>
      <c r="C561" t="s">
        <v>37</v>
      </c>
      <c r="D561">
        <v>1</v>
      </c>
      <c r="E561" t="s">
        <v>369</v>
      </c>
    </row>
    <row r="562" spans="1:5" x14ac:dyDescent="0.3">
      <c r="A562">
        <v>272</v>
      </c>
      <c r="B562" t="s">
        <v>10</v>
      </c>
      <c r="C562" t="s">
        <v>37</v>
      </c>
      <c r="D562">
        <v>2</v>
      </c>
      <c r="E562" t="s">
        <v>368</v>
      </c>
    </row>
    <row r="563" spans="1:5" x14ac:dyDescent="0.3">
      <c r="A563">
        <v>272</v>
      </c>
      <c r="B563" t="s">
        <v>5</v>
      </c>
      <c r="C563" t="s">
        <v>36</v>
      </c>
      <c r="D563">
        <v>0</v>
      </c>
      <c r="E563" t="s">
        <v>331</v>
      </c>
    </row>
    <row r="564" spans="1:5" x14ac:dyDescent="0.3">
      <c r="A564">
        <v>272</v>
      </c>
      <c r="B564" t="s">
        <v>6</v>
      </c>
      <c r="C564" t="s">
        <v>36</v>
      </c>
      <c r="D564">
        <v>70</v>
      </c>
      <c r="E564" t="s">
        <v>81</v>
      </c>
    </row>
    <row r="565" spans="1:5" x14ac:dyDescent="0.3">
      <c r="A565">
        <v>272</v>
      </c>
      <c r="B565" t="s">
        <v>7</v>
      </c>
      <c r="C565" t="s">
        <v>36</v>
      </c>
      <c r="D565">
        <v>70</v>
      </c>
      <c r="E565" t="s">
        <v>81</v>
      </c>
    </row>
    <row r="566" spans="1:5" x14ac:dyDescent="0.3">
      <c r="A566">
        <v>272</v>
      </c>
      <c r="B566" t="s">
        <v>31</v>
      </c>
      <c r="C566" t="s">
        <v>68</v>
      </c>
      <c r="D566">
        <v>2</v>
      </c>
      <c r="E566" t="s">
        <v>393</v>
      </c>
    </row>
    <row r="567" spans="1:5" x14ac:dyDescent="0.3">
      <c r="A567">
        <v>273</v>
      </c>
      <c r="B567" t="s">
        <v>5</v>
      </c>
      <c r="C567" t="s">
        <v>36</v>
      </c>
      <c r="D567">
        <v>1</v>
      </c>
      <c r="E567" t="s">
        <v>354</v>
      </c>
    </row>
    <row r="568" spans="1:5" x14ac:dyDescent="0.3">
      <c r="A568">
        <v>273</v>
      </c>
      <c r="B568" t="s">
        <v>78</v>
      </c>
      <c r="C568" t="s">
        <v>37</v>
      </c>
      <c r="D568">
        <v>0</v>
      </c>
      <c r="E568" t="s">
        <v>335</v>
      </c>
    </row>
    <row r="569" spans="1:5" x14ac:dyDescent="0.3">
      <c r="A569">
        <v>273</v>
      </c>
      <c r="B569" t="s">
        <v>33</v>
      </c>
      <c r="C569" t="s">
        <v>68</v>
      </c>
      <c r="D569">
        <v>1</v>
      </c>
      <c r="E569" t="s">
        <v>335</v>
      </c>
    </row>
    <row r="570" spans="1:5" x14ac:dyDescent="0.3">
      <c r="A570">
        <v>273</v>
      </c>
      <c r="B570" t="s">
        <v>19</v>
      </c>
      <c r="C570" t="s">
        <v>65</v>
      </c>
      <c r="D570">
        <v>1</v>
      </c>
      <c r="E570" t="s">
        <v>226</v>
      </c>
    </row>
    <row r="571" spans="1:5" x14ac:dyDescent="0.3">
      <c r="A571">
        <v>273</v>
      </c>
      <c r="B571" t="s">
        <v>6</v>
      </c>
      <c r="C571" t="s">
        <v>36</v>
      </c>
      <c r="D571">
        <v>96</v>
      </c>
      <c r="E571" t="s">
        <v>351</v>
      </c>
    </row>
    <row r="572" spans="1:5" x14ac:dyDescent="0.3">
      <c r="A572">
        <v>273</v>
      </c>
      <c r="B572" t="s">
        <v>76</v>
      </c>
      <c r="C572" t="s">
        <v>68</v>
      </c>
      <c r="D572">
        <v>1</v>
      </c>
      <c r="E572" t="s">
        <v>217</v>
      </c>
    </row>
    <row r="573" spans="1:5" x14ac:dyDescent="0.3">
      <c r="A573">
        <v>273</v>
      </c>
      <c r="B573" t="s">
        <v>7</v>
      </c>
      <c r="C573" t="s">
        <v>36</v>
      </c>
      <c r="D573">
        <v>96</v>
      </c>
      <c r="E573" t="s">
        <v>352</v>
      </c>
    </row>
    <row r="574" spans="1:5" x14ac:dyDescent="0.3">
      <c r="A574">
        <v>273</v>
      </c>
      <c r="B574" t="s">
        <v>4</v>
      </c>
      <c r="C574" t="s">
        <v>36</v>
      </c>
      <c r="D574">
        <v>0</v>
      </c>
      <c r="E574" t="s">
        <v>353</v>
      </c>
    </row>
    <row r="575" spans="1:5" x14ac:dyDescent="0.3">
      <c r="A575">
        <v>274</v>
      </c>
      <c r="B575" t="s">
        <v>6</v>
      </c>
      <c r="C575" t="s">
        <v>36</v>
      </c>
      <c r="D575">
        <v>50</v>
      </c>
      <c r="E575" t="s">
        <v>81</v>
      </c>
    </row>
    <row r="576" spans="1:5" x14ac:dyDescent="0.3">
      <c r="A576">
        <v>274</v>
      </c>
      <c r="B576" t="s">
        <v>7</v>
      </c>
      <c r="C576" t="s">
        <v>36</v>
      </c>
      <c r="D576">
        <v>50</v>
      </c>
      <c r="E576" t="s">
        <v>81</v>
      </c>
    </row>
    <row r="577" spans="1:5" x14ac:dyDescent="0.3">
      <c r="A577">
        <v>274</v>
      </c>
      <c r="B577" t="s">
        <v>76</v>
      </c>
      <c r="C577" t="s">
        <v>68</v>
      </c>
      <c r="D577">
        <v>1</v>
      </c>
      <c r="E577" t="s">
        <v>335</v>
      </c>
    </row>
    <row r="578" spans="1:5" x14ac:dyDescent="0.3">
      <c r="A578">
        <v>274</v>
      </c>
      <c r="B578" t="s">
        <v>77</v>
      </c>
      <c r="C578" t="s">
        <v>65</v>
      </c>
      <c r="D578">
        <v>1</v>
      </c>
      <c r="E578" t="s">
        <v>217</v>
      </c>
    </row>
    <row r="579" spans="1:5" x14ac:dyDescent="0.3">
      <c r="A579">
        <v>274</v>
      </c>
      <c r="B579" t="s">
        <v>74</v>
      </c>
      <c r="C579" t="s">
        <v>65</v>
      </c>
      <c r="D579">
        <v>1</v>
      </c>
      <c r="E579" t="s">
        <v>370</v>
      </c>
    </row>
    <row r="580" spans="1:5" x14ac:dyDescent="0.3">
      <c r="A580">
        <v>274</v>
      </c>
      <c r="B580" t="s">
        <v>33</v>
      </c>
      <c r="C580" t="s">
        <v>68</v>
      </c>
      <c r="D580">
        <v>1</v>
      </c>
      <c r="E580" t="s">
        <v>335</v>
      </c>
    </row>
    <row r="581" spans="1:5" x14ac:dyDescent="0.3">
      <c r="A581">
        <v>274</v>
      </c>
      <c r="B581" t="s">
        <v>29</v>
      </c>
      <c r="C581" t="s">
        <v>68</v>
      </c>
      <c r="D581">
        <v>0</v>
      </c>
      <c r="E581" t="s">
        <v>124</v>
      </c>
    </row>
    <row r="582" spans="1:5" x14ac:dyDescent="0.3">
      <c r="A582">
        <v>274</v>
      </c>
      <c r="B582" t="s">
        <v>78</v>
      </c>
      <c r="C582" t="s">
        <v>37</v>
      </c>
      <c r="D582">
        <v>1</v>
      </c>
      <c r="E582" t="s">
        <v>371</v>
      </c>
    </row>
    <row r="583" spans="1:5" x14ac:dyDescent="0.3">
      <c r="A583">
        <v>274</v>
      </c>
      <c r="B583" t="s">
        <v>27</v>
      </c>
      <c r="C583" t="s">
        <v>84</v>
      </c>
      <c r="D583">
        <v>2</v>
      </c>
      <c r="E583" t="s">
        <v>380</v>
      </c>
    </row>
    <row r="584" spans="1:5" x14ac:dyDescent="0.3">
      <c r="A584">
        <v>274</v>
      </c>
      <c r="B584" t="s">
        <v>8</v>
      </c>
      <c r="C584" t="s">
        <v>36</v>
      </c>
      <c r="D584">
        <v>1</v>
      </c>
      <c r="E584" t="s">
        <v>342</v>
      </c>
    </row>
    <row r="585" spans="1:5" x14ac:dyDescent="0.3">
      <c r="A585">
        <v>274</v>
      </c>
      <c r="B585" t="s">
        <v>5</v>
      </c>
      <c r="C585" t="s">
        <v>36</v>
      </c>
      <c r="D585">
        <v>0</v>
      </c>
      <c r="E585" t="s">
        <v>81</v>
      </c>
    </row>
    <row r="586" spans="1:5" x14ac:dyDescent="0.3">
      <c r="A586">
        <v>275</v>
      </c>
      <c r="B586" t="s">
        <v>29</v>
      </c>
      <c r="C586" t="s">
        <v>68</v>
      </c>
      <c r="D586">
        <v>0</v>
      </c>
      <c r="E586" t="s">
        <v>386</v>
      </c>
    </row>
    <row r="587" spans="1:5" x14ac:dyDescent="0.3">
      <c r="A587">
        <v>275</v>
      </c>
      <c r="B587" t="s">
        <v>6</v>
      </c>
      <c r="C587" t="s">
        <v>36</v>
      </c>
      <c r="D587">
        <v>88</v>
      </c>
      <c r="E587" t="s">
        <v>358</v>
      </c>
    </row>
    <row r="588" spans="1:5" x14ac:dyDescent="0.3">
      <c r="A588">
        <v>275</v>
      </c>
      <c r="B588" t="s">
        <v>7</v>
      </c>
      <c r="C588" t="s">
        <v>36</v>
      </c>
      <c r="D588">
        <v>88</v>
      </c>
      <c r="E588" t="s">
        <v>358</v>
      </c>
    </row>
    <row r="589" spans="1:5" x14ac:dyDescent="0.3">
      <c r="A589">
        <v>275</v>
      </c>
      <c r="B589" t="s">
        <v>5</v>
      </c>
      <c r="C589" t="s">
        <v>36</v>
      </c>
      <c r="D589">
        <v>0</v>
      </c>
      <c r="E589" t="s">
        <v>355</v>
      </c>
    </row>
    <row r="590" spans="1:5" x14ac:dyDescent="0.3">
      <c r="A590">
        <v>275</v>
      </c>
      <c r="B590" t="s">
        <v>19</v>
      </c>
      <c r="C590" t="s">
        <v>65</v>
      </c>
      <c r="D590">
        <v>1</v>
      </c>
      <c r="E590" t="s">
        <v>226</v>
      </c>
    </row>
    <row r="591" spans="1:5" x14ac:dyDescent="0.3">
      <c r="A591">
        <v>275</v>
      </c>
      <c r="B591" t="s">
        <v>21</v>
      </c>
      <c r="C591" t="s">
        <v>65</v>
      </c>
      <c r="D591">
        <v>4</v>
      </c>
      <c r="E591" t="s">
        <v>372</v>
      </c>
    </row>
    <row r="592" spans="1:5" x14ac:dyDescent="0.3">
      <c r="A592">
        <v>275</v>
      </c>
      <c r="B592" t="s">
        <v>27</v>
      </c>
      <c r="C592" t="s">
        <v>84</v>
      </c>
      <c r="D592">
        <v>1</v>
      </c>
      <c r="E592" t="s">
        <v>378</v>
      </c>
    </row>
    <row r="593" spans="1:5" x14ac:dyDescent="0.3">
      <c r="A593">
        <v>275</v>
      </c>
      <c r="B593" t="s">
        <v>33</v>
      </c>
      <c r="C593" t="s">
        <v>68</v>
      </c>
      <c r="D593">
        <v>3</v>
      </c>
      <c r="E593" t="s">
        <v>385</v>
      </c>
    </row>
    <row r="594" spans="1:5" x14ac:dyDescent="0.3">
      <c r="A594">
        <v>275</v>
      </c>
      <c r="B594" t="s">
        <v>74</v>
      </c>
      <c r="C594" t="s">
        <v>65</v>
      </c>
      <c r="D594">
        <v>1</v>
      </c>
      <c r="E594" t="s">
        <v>228</v>
      </c>
    </row>
    <row r="595" spans="1:5" x14ac:dyDescent="0.3">
      <c r="A595">
        <v>275</v>
      </c>
      <c r="B595" t="s">
        <v>77</v>
      </c>
      <c r="C595" t="s">
        <v>65</v>
      </c>
      <c r="D595">
        <v>2</v>
      </c>
      <c r="E595" t="s">
        <v>373</v>
      </c>
    </row>
    <row r="596" spans="1:5" x14ac:dyDescent="0.3">
      <c r="A596">
        <v>275</v>
      </c>
      <c r="B596" t="s">
        <v>78</v>
      </c>
      <c r="C596" t="s">
        <v>37</v>
      </c>
      <c r="D596">
        <v>1</v>
      </c>
      <c r="E596" t="s">
        <v>124</v>
      </c>
    </row>
    <row r="597" spans="1:5" x14ac:dyDescent="0.3">
      <c r="A597">
        <v>275</v>
      </c>
      <c r="B597" t="s">
        <v>76</v>
      </c>
      <c r="C597" t="s">
        <v>68</v>
      </c>
      <c r="D597">
        <v>1</v>
      </c>
      <c r="E597" t="s">
        <v>386</v>
      </c>
    </row>
    <row r="598" spans="1:5" x14ac:dyDescent="0.3">
      <c r="A598">
        <v>276</v>
      </c>
      <c r="B598" t="s">
        <v>35</v>
      </c>
      <c r="C598" t="s">
        <v>68</v>
      </c>
      <c r="D598">
        <v>2</v>
      </c>
      <c r="E598" t="s">
        <v>412</v>
      </c>
    </row>
    <row r="599" spans="1:5" x14ac:dyDescent="0.3">
      <c r="A599">
        <v>276</v>
      </c>
      <c r="B599" t="s">
        <v>75</v>
      </c>
      <c r="C599" t="s">
        <v>65</v>
      </c>
      <c r="D599">
        <v>1</v>
      </c>
      <c r="E599" t="s">
        <v>395</v>
      </c>
    </row>
    <row r="600" spans="1:5" x14ac:dyDescent="0.3">
      <c r="A600">
        <v>276</v>
      </c>
      <c r="B600" t="s">
        <v>31</v>
      </c>
      <c r="C600" t="s">
        <v>68</v>
      </c>
      <c r="D600">
        <v>8</v>
      </c>
      <c r="E600" t="s">
        <v>411</v>
      </c>
    </row>
    <row r="601" spans="1:5" x14ac:dyDescent="0.3">
      <c r="A601">
        <v>276</v>
      </c>
      <c r="B601" t="s">
        <v>76</v>
      </c>
      <c r="C601" t="s">
        <v>68</v>
      </c>
      <c r="D601">
        <v>1</v>
      </c>
      <c r="E601" t="s">
        <v>217</v>
      </c>
    </row>
    <row r="602" spans="1:5" x14ac:dyDescent="0.3">
      <c r="A602">
        <v>276</v>
      </c>
      <c r="B602" t="s">
        <v>77</v>
      </c>
      <c r="C602" t="s">
        <v>65</v>
      </c>
      <c r="D602">
        <v>4</v>
      </c>
      <c r="E602" t="s">
        <v>375</v>
      </c>
    </row>
    <row r="603" spans="1:5" x14ac:dyDescent="0.3">
      <c r="A603">
        <v>276</v>
      </c>
      <c r="B603" t="s">
        <v>33</v>
      </c>
      <c r="C603" t="s">
        <v>68</v>
      </c>
      <c r="D603">
        <v>1</v>
      </c>
      <c r="E603" t="s">
        <v>217</v>
      </c>
    </row>
    <row r="604" spans="1:5" x14ac:dyDescent="0.3">
      <c r="A604">
        <v>276</v>
      </c>
      <c r="B604" t="s">
        <v>19</v>
      </c>
      <c r="C604" t="s">
        <v>65</v>
      </c>
      <c r="D604">
        <v>1</v>
      </c>
      <c r="E604" t="s">
        <v>397</v>
      </c>
    </row>
    <row r="605" spans="1:5" x14ac:dyDescent="0.3">
      <c r="A605">
        <v>276</v>
      </c>
      <c r="B605" t="s">
        <v>78</v>
      </c>
      <c r="C605" t="s">
        <v>37</v>
      </c>
      <c r="D605">
        <v>1</v>
      </c>
      <c r="E605" t="s">
        <v>360</v>
      </c>
    </row>
    <row r="606" spans="1:5" x14ac:dyDescent="0.3">
      <c r="A606">
        <v>276</v>
      </c>
      <c r="B606" t="s">
        <v>8</v>
      </c>
      <c r="C606" t="s">
        <v>36</v>
      </c>
      <c r="D606">
        <v>23</v>
      </c>
      <c r="E606" t="s">
        <v>375</v>
      </c>
    </row>
    <row r="607" spans="1:5" x14ac:dyDescent="0.3">
      <c r="A607">
        <v>276</v>
      </c>
      <c r="B607" t="s">
        <v>6</v>
      </c>
      <c r="C607" t="s">
        <v>36</v>
      </c>
      <c r="D607">
        <v>214</v>
      </c>
      <c r="E607" t="s">
        <v>358</v>
      </c>
    </row>
    <row r="608" spans="1:5" x14ac:dyDescent="0.3">
      <c r="A608">
        <v>276</v>
      </c>
      <c r="B608" t="s">
        <v>7</v>
      </c>
      <c r="C608" t="s">
        <v>36</v>
      </c>
      <c r="D608">
        <v>117</v>
      </c>
      <c r="E608" t="s">
        <v>374</v>
      </c>
    </row>
    <row r="609" spans="1:5" x14ac:dyDescent="0.3">
      <c r="A609">
        <v>276</v>
      </c>
      <c r="B609" t="s">
        <v>20</v>
      </c>
      <c r="C609" t="s">
        <v>65</v>
      </c>
      <c r="D609">
        <v>3</v>
      </c>
      <c r="E609" t="s">
        <v>396</v>
      </c>
    </row>
    <row r="610" spans="1:5" x14ac:dyDescent="0.3">
      <c r="A610">
        <v>276</v>
      </c>
      <c r="B610" t="s">
        <v>74</v>
      </c>
      <c r="C610" t="s">
        <v>65</v>
      </c>
      <c r="D610">
        <v>1</v>
      </c>
      <c r="E610" t="s">
        <v>140</v>
      </c>
    </row>
    <row r="611" spans="1:5" x14ac:dyDescent="0.3">
      <c r="A611">
        <v>277</v>
      </c>
      <c r="B611" t="s">
        <v>19</v>
      </c>
      <c r="C611" t="s">
        <v>65</v>
      </c>
      <c r="D611">
        <v>4</v>
      </c>
      <c r="E611" t="s">
        <v>401</v>
      </c>
    </row>
    <row r="612" spans="1:5" x14ac:dyDescent="0.3">
      <c r="A612">
        <v>277</v>
      </c>
      <c r="B612" t="s">
        <v>6</v>
      </c>
      <c r="C612" t="s">
        <v>36</v>
      </c>
      <c r="D612">
        <v>76</v>
      </c>
      <c r="E612" t="s">
        <v>185</v>
      </c>
    </row>
    <row r="613" spans="1:5" x14ac:dyDescent="0.3">
      <c r="A613">
        <v>277</v>
      </c>
      <c r="B613" t="s">
        <v>76</v>
      </c>
      <c r="C613" t="s">
        <v>68</v>
      </c>
      <c r="D613">
        <v>1</v>
      </c>
      <c r="E613" t="s">
        <v>360</v>
      </c>
    </row>
    <row r="614" spans="1:5" x14ac:dyDescent="0.3">
      <c r="A614">
        <v>277</v>
      </c>
      <c r="B614" t="s">
        <v>78</v>
      </c>
      <c r="C614" t="s">
        <v>37</v>
      </c>
      <c r="D614">
        <v>1</v>
      </c>
      <c r="E614" t="s">
        <v>381</v>
      </c>
    </row>
    <row r="615" spans="1:5" x14ac:dyDescent="0.3">
      <c r="A615">
        <v>277</v>
      </c>
      <c r="B615" t="s">
        <v>77</v>
      </c>
      <c r="C615" t="s">
        <v>65</v>
      </c>
      <c r="D615">
        <v>0</v>
      </c>
      <c r="E615" t="s">
        <v>400</v>
      </c>
    </row>
    <row r="616" spans="1:5" x14ac:dyDescent="0.3">
      <c r="A616">
        <v>277</v>
      </c>
      <c r="B616" t="s">
        <v>74</v>
      </c>
      <c r="C616" t="s">
        <v>65</v>
      </c>
      <c r="D616">
        <v>2</v>
      </c>
      <c r="E616" t="s">
        <v>403</v>
      </c>
    </row>
    <row r="617" spans="1:5" x14ac:dyDescent="0.3">
      <c r="A617">
        <v>277</v>
      </c>
      <c r="B617" t="s">
        <v>35</v>
      </c>
      <c r="C617" t="s">
        <v>68</v>
      </c>
      <c r="D617">
        <v>3</v>
      </c>
      <c r="E617" t="s">
        <v>418</v>
      </c>
    </row>
    <row r="618" spans="1:5" x14ac:dyDescent="0.3">
      <c r="A618">
        <v>277</v>
      </c>
      <c r="B618" t="s">
        <v>33</v>
      </c>
      <c r="C618" t="s">
        <v>68</v>
      </c>
      <c r="D618">
        <v>1</v>
      </c>
      <c r="E618" t="s">
        <v>360</v>
      </c>
    </row>
    <row r="619" spans="1:5" x14ac:dyDescent="0.3">
      <c r="A619">
        <v>277</v>
      </c>
      <c r="B619" t="s">
        <v>20</v>
      </c>
      <c r="C619" t="s">
        <v>65</v>
      </c>
      <c r="D619">
        <v>2</v>
      </c>
      <c r="E619" t="s">
        <v>402</v>
      </c>
    </row>
    <row r="620" spans="1:5" x14ac:dyDescent="0.3">
      <c r="A620">
        <v>277</v>
      </c>
      <c r="B620" t="s">
        <v>15</v>
      </c>
      <c r="C620" t="s">
        <v>37</v>
      </c>
      <c r="D620">
        <v>2</v>
      </c>
      <c r="E620" t="s">
        <v>343</v>
      </c>
    </row>
    <row r="621" spans="1:5" x14ac:dyDescent="0.3">
      <c r="A621">
        <v>277</v>
      </c>
      <c r="B621" t="s">
        <v>10</v>
      </c>
      <c r="C621" t="s">
        <v>37</v>
      </c>
      <c r="D621">
        <v>7</v>
      </c>
      <c r="E621" t="s">
        <v>192</v>
      </c>
    </row>
    <row r="622" spans="1:5" x14ac:dyDescent="0.3">
      <c r="A622">
        <v>277</v>
      </c>
      <c r="B622" t="s">
        <v>9</v>
      </c>
      <c r="C622" t="s">
        <v>37</v>
      </c>
      <c r="D622">
        <v>2</v>
      </c>
      <c r="E622" t="s">
        <v>382</v>
      </c>
    </row>
    <row r="623" spans="1:5" x14ac:dyDescent="0.3">
      <c r="A623">
        <v>277</v>
      </c>
      <c r="B623" t="s">
        <v>5</v>
      </c>
      <c r="C623" t="s">
        <v>36</v>
      </c>
      <c r="D623">
        <v>0</v>
      </c>
      <c r="E623" t="s">
        <v>236</v>
      </c>
    </row>
    <row r="624" spans="1:5" x14ac:dyDescent="0.3">
      <c r="A624">
        <v>277</v>
      </c>
      <c r="B624" t="s">
        <v>7</v>
      </c>
      <c r="C624" t="s">
        <v>36</v>
      </c>
      <c r="D624">
        <v>140</v>
      </c>
      <c r="E624" t="s">
        <v>375</v>
      </c>
    </row>
    <row r="625" spans="1:5" x14ac:dyDescent="0.3">
      <c r="A625">
        <v>277</v>
      </c>
      <c r="B625" t="s">
        <v>31</v>
      </c>
      <c r="C625" t="s">
        <v>68</v>
      </c>
      <c r="D625">
        <v>720</v>
      </c>
      <c r="E625" t="s">
        <v>360</v>
      </c>
    </row>
    <row r="626" spans="1:5" x14ac:dyDescent="0.3">
      <c r="A626">
        <v>278</v>
      </c>
      <c r="B626" t="s">
        <v>33</v>
      </c>
      <c r="C626" t="s">
        <v>68</v>
      </c>
      <c r="D626">
        <v>0</v>
      </c>
      <c r="E626" t="s">
        <v>217</v>
      </c>
    </row>
    <row r="627" spans="1:5" x14ac:dyDescent="0.3">
      <c r="A627">
        <v>278</v>
      </c>
      <c r="B627" t="s">
        <v>6</v>
      </c>
      <c r="C627" t="s">
        <v>36</v>
      </c>
      <c r="D627">
        <v>50</v>
      </c>
      <c r="E627" t="s">
        <v>217</v>
      </c>
    </row>
    <row r="628" spans="1:5" x14ac:dyDescent="0.3">
      <c r="A628">
        <v>278</v>
      </c>
      <c r="B628" t="s">
        <v>78</v>
      </c>
      <c r="C628" t="s">
        <v>37</v>
      </c>
      <c r="D628">
        <v>2</v>
      </c>
      <c r="E628" t="s">
        <v>393</v>
      </c>
    </row>
    <row r="629" spans="1:5" x14ac:dyDescent="0.3">
      <c r="A629">
        <v>278</v>
      </c>
      <c r="B629" t="s">
        <v>76</v>
      </c>
      <c r="C629" t="s">
        <v>68</v>
      </c>
      <c r="D629">
        <v>1</v>
      </c>
      <c r="E629" t="s">
        <v>217</v>
      </c>
    </row>
    <row r="630" spans="1:5" x14ac:dyDescent="0.3">
      <c r="A630">
        <v>278</v>
      </c>
      <c r="B630" t="s">
        <v>77</v>
      </c>
      <c r="C630" t="s">
        <v>65</v>
      </c>
      <c r="D630">
        <v>1</v>
      </c>
      <c r="E630" t="s">
        <v>428</v>
      </c>
    </row>
    <row r="631" spans="1:5" x14ac:dyDescent="0.3">
      <c r="A631">
        <v>278</v>
      </c>
      <c r="B631" t="s">
        <v>74</v>
      </c>
      <c r="C631" t="s">
        <v>65</v>
      </c>
      <c r="D631">
        <v>1</v>
      </c>
      <c r="E631" t="s">
        <v>379</v>
      </c>
    </row>
    <row r="632" spans="1:5" x14ac:dyDescent="0.3">
      <c r="A632">
        <v>278</v>
      </c>
      <c r="B632" t="s">
        <v>75</v>
      </c>
      <c r="C632" t="s">
        <v>65</v>
      </c>
      <c r="D632">
        <v>2</v>
      </c>
      <c r="E632" t="s">
        <v>375</v>
      </c>
    </row>
    <row r="633" spans="1:5" x14ac:dyDescent="0.3">
      <c r="A633">
        <v>278</v>
      </c>
      <c r="B633" t="s">
        <v>12</v>
      </c>
      <c r="C633" t="s">
        <v>37</v>
      </c>
      <c r="D633">
        <v>1</v>
      </c>
      <c r="E633" t="s">
        <v>369</v>
      </c>
    </row>
    <row r="634" spans="1:5" x14ac:dyDescent="0.3">
      <c r="A634">
        <v>278</v>
      </c>
      <c r="B634" t="s">
        <v>7</v>
      </c>
      <c r="C634" t="s">
        <v>36</v>
      </c>
      <c r="D634">
        <v>50</v>
      </c>
      <c r="E634" t="s">
        <v>217</v>
      </c>
    </row>
    <row r="635" spans="1:5" x14ac:dyDescent="0.3">
      <c r="A635">
        <v>278</v>
      </c>
      <c r="B635" t="s">
        <v>4</v>
      </c>
      <c r="C635" t="s">
        <v>36</v>
      </c>
      <c r="D635">
        <v>1</v>
      </c>
      <c r="E635" t="s">
        <v>376</v>
      </c>
    </row>
    <row r="636" spans="1:5" x14ac:dyDescent="0.3">
      <c r="A636">
        <v>278</v>
      </c>
      <c r="B636" t="s">
        <v>27</v>
      </c>
      <c r="C636" t="s">
        <v>84</v>
      </c>
      <c r="D636">
        <v>5</v>
      </c>
      <c r="E636" t="s">
        <v>375</v>
      </c>
    </row>
    <row r="637" spans="1:5" x14ac:dyDescent="0.3">
      <c r="A637">
        <v>279</v>
      </c>
      <c r="B637" t="s">
        <v>29</v>
      </c>
      <c r="C637" t="s">
        <v>68</v>
      </c>
      <c r="D637">
        <v>1</v>
      </c>
      <c r="E637" t="s">
        <v>393</v>
      </c>
    </row>
    <row r="638" spans="1:5" x14ac:dyDescent="0.3">
      <c r="A638">
        <v>279</v>
      </c>
      <c r="B638" t="s">
        <v>78</v>
      </c>
      <c r="C638" t="s">
        <v>37</v>
      </c>
      <c r="D638">
        <v>1</v>
      </c>
      <c r="E638" t="s">
        <v>421</v>
      </c>
    </row>
    <row r="639" spans="1:5" x14ac:dyDescent="0.3">
      <c r="A639">
        <v>279</v>
      </c>
      <c r="B639" t="s">
        <v>77</v>
      </c>
      <c r="C639" t="s">
        <v>65</v>
      </c>
      <c r="D639">
        <v>1</v>
      </c>
      <c r="E639" t="s">
        <v>422</v>
      </c>
    </row>
    <row r="640" spans="1:5" x14ac:dyDescent="0.3">
      <c r="A640">
        <v>279</v>
      </c>
      <c r="B640" t="s">
        <v>74</v>
      </c>
      <c r="C640" t="s">
        <v>65</v>
      </c>
      <c r="D640">
        <v>1</v>
      </c>
      <c r="E640" t="s">
        <v>124</v>
      </c>
    </row>
    <row r="641" spans="1:5" x14ac:dyDescent="0.3">
      <c r="A641">
        <v>279</v>
      </c>
      <c r="B641" t="s">
        <v>33</v>
      </c>
      <c r="C641" t="s">
        <v>68</v>
      </c>
      <c r="D641">
        <v>1</v>
      </c>
      <c r="E641" t="s">
        <v>269</v>
      </c>
    </row>
    <row r="642" spans="1:5" x14ac:dyDescent="0.3">
      <c r="A642">
        <v>279</v>
      </c>
      <c r="B642" t="s">
        <v>76</v>
      </c>
      <c r="C642" t="s">
        <v>68</v>
      </c>
      <c r="D642">
        <v>1</v>
      </c>
      <c r="E642" t="s">
        <v>429</v>
      </c>
    </row>
    <row r="643" spans="1:5" x14ac:dyDescent="0.3">
      <c r="A643">
        <v>279</v>
      </c>
      <c r="B643" t="s">
        <v>28</v>
      </c>
      <c r="C643" t="s">
        <v>68</v>
      </c>
      <c r="D643">
        <v>1</v>
      </c>
      <c r="E643" t="s">
        <v>393</v>
      </c>
    </row>
    <row r="644" spans="1:5" x14ac:dyDescent="0.3">
      <c r="A644">
        <v>279</v>
      </c>
      <c r="B644" t="s">
        <v>26</v>
      </c>
      <c r="C644" t="s">
        <v>84</v>
      </c>
      <c r="D644">
        <v>2</v>
      </c>
      <c r="E644" t="s">
        <v>419</v>
      </c>
    </row>
    <row r="645" spans="1:5" x14ac:dyDescent="0.3">
      <c r="A645">
        <v>279</v>
      </c>
      <c r="B645" t="s">
        <v>20</v>
      </c>
      <c r="C645" t="s">
        <v>65</v>
      </c>
      <c r="D645">
        <v>0</v>
      </c>
      <c r="E645" t="s">
        <v>420</v>
      </c>
    </row>
    <row r="646" spans="1:5" x14ac:dyDescent="0.3">
      <c r="A646">
        <v>279</v>
      </c>
      <c r="B646" t="s">
        <v>5</v>
      </c>
      <c r="C646" t="s">
        <v>36</v>
      </c>
      <c r="D646">
        <v>1</v>
      </c>
      <c r="E646" t="s">
        <v>355</v>
      </c>
    </row>
    <row r="647" spans="1:5" x14ac:dyDescent="0.3">
      <c r="A647">
        <v>279</v>
      </c>
      <c r="B647" t="s">
        <v>7</v>
      </c>
      <c r="C647" t="s">
        <v>36</v>
      </c>
      <c r="D647">
        <v>51</v>
      </c>
      <c r="E647" t="s">
        <v>377</v>
      </c>
    </row>
    <row r="648" spans="1:5" x14ac:dyDescent="0.3">
      <c r="A648">
        <v>279</v>
      </c>
      <c r="B648" t="s">
        <v>6</v>
      </c>
      <c r="C648" t="s">
        <v>36</v>
      </c>
      <c r="D648">
        <v>127</v>
      </c>
      <c r="E648" t="s">
        <v>404</v>
      </c>
    </row>
    <row r="649" spans="1:5" x14ac:dyDescent="0.3">
      <c r="A649">
        <v>279</v>
      </c>
      <c r="B649" t="s">
        <v>34</v>
      </c>
      <c r="C649" t="s">
        <v>68</v>
      </c>
      <c r="D649">
        <v>0</v>
      </c>
      <c r="E649" t="s">
        <v>94</v>
      </c>
    </row>
    <row r="650" spans="1:5" x14ac:dyDescent="0.3">
      <c r="A650">
        <v>280</v>
      </c>
      <c r="B650" t="s">
        <v>23</v>
      </c>
      <c r="C650" t="s">
        <v>65</v>
      </c>
      <c r="D650">
        <v>7</v>
      </c>
      <c r="E650" t="s">
        <v>405</v>
      </c>
    </row>
    <row r="651" spans="1:5" x14ac:dyDescent="0.3">
      <c r="A651">
        <v>280</v>
      </c>
      <c r="B651" t="s">
        <v>78</v>
      </c>
      <c r="C651" t="s">
        <v>37</v>
      </c>
      <c r="D651">
        <v>1</v>
      </c>
      <c r="E651" t="s">
        <v>384</v>
      </c>
    </row>
    <row r="652" spans="1:5" x14ac:dyDescent="0.3">
      <c r="A652">
        <v>280</v>
      </c>
      <c r="B652" t="s">
        <v>76</v>
      </c>
      <c r="C652" t="s">
        <v>68</v>
      </c>
      <c r="D652">
        <v>1</v>
      </c>
      <c r="E652" t="s">
        <v>140</v>
      </c>
    </row>
    <row r="653" spans="1:5" x14ac:dyDescent="0.3">
      <c r="A653">
        <v>280</v>
      </c>
      <c r="B653" t="s">
        <v>77</v>
      </c>
      <c r="C653" t="s">
        <v>65</v>
      </c>
      <c r="D653">
        <v>1</v>
      </c>
      <c r="E653" t="s">
        <v>406</v>
      </c>
    </row>
    <row r="654" spans="1:5" x14ac:dyDescent="0.3">
      <c r="A654">
        <v>280</v>
      </c>
      <c r="B654" t="s">
        <v>74</v>
      </c>
      <c r="C654" t="s">
        <v>65</v>
      </c>
      <c r="D654">
        <v>2</v>
      </c>
      <c r="E654" t="s">
        <v>217</v>
      </c>
    </row>
    <row r="655" spans="1:5" x14ac:dyDescent="0.3">
      <c r="A655">
        <v>280</v>
      </c>
      <c r="B655" t="s">
        <v>33</v>
      </c>
      <c r="C655" t="s">
        <v>68</v>
      </c>
      <c r="D655">
        <v>1</v>
      </c>
      <c r="E655" t="s">
        <v>124</v>
      </c>
    </row>
    <row r="656" spans="1:5" x14ac:dyDescent="0.3">
      <c r="A656">
        <v>280</v>
      </c>
      <c r="B656" t="s">
        <v>21</v>
      </c>
      <c r="C656" t="s">
        <v>65</v>
      </c>
      <c r="D656">
        <v>-1</v>
      </c>
      <c r="E656" t="s">
        <v>124</v>
      </c>
    </row>
    <row r="657" spans="1:5" x14ac:dyDescent="0.3">
      <c r="A657">
        <v>280</v>
      </c>
      <c r="B657" t="s">
        <v>19</v>
      </c>
      <c r="C657" t="s">
        <v>65</v>
      </c>
      <c r="D657">
        <v>1</v>
      </c>
      <c r="E657" t="s">
        <v>398</v>
      </c>
    </row>
    <row r="658" spans="1:5" x14ac:dyDescent="0.3">
      <c r="A658">
        <v>280</v>
      </c>
      <c r="B658" t="s">
        <v>10</v>
      </c>
      <c r="C658" t="s">
        <v>37</v>
      </c>
      <c r="D658">
        <v>20</v>
      </c>
      <c r="E658" t="s">
        <v>388</v>
      </c>
    </row>
    <row r="659" spans="1:5" x14ac:dyDescent="0.3">
      <c r="A659">
        <v>280</v>
      </c>
      <c r="B659" t="s">
        <v>9</v>
      </c>
      <c r="C659" t="s">
        <v>37</v>
      </c>
      <c r="D659">
        <v>30</v>
      </c>
      <c r="E659" t="s">
        <v>387</v>
      </c>
    </row>
    <row r="660" spans="1:5" x14ac:dyDescent="0.3">
      <c r="A660">
        <v>280</v>
      </c>
      <c r="B660" t="s">
        <v>5</v>
      </c>
      <c r="C660" t="s">
        <v>36</v>
      </c>
      <c r="D660">
        <v>0</v>
      </c>
      <c r="E660" t="s">
        <v>383</v>
      </c>
    </row>
    <row r="661" spans="1:5" x14ac:dyDescent="0.3">
      <c r="A661">
        <v>280</v>
      </c>
      <c r="B661" t="s">
        <v>6</v>
      </c>
      <c r="C661" t="s">
        <v>36</v>
      </c>
      <c r="D661">
        <v>94</v>
      </c>
      <c r="E661" t="s">
        <v>402</v>
      </c>
    </row>
    <row r="662" spans="1:5" x14ac:dyDescent="0.3">
      <c r="A662">
        <v>280</v>
      </c>
      <c r="B662" t="s">
        <v>7</v>
      </c>
      <c r="C662" t="s">
        <v>36</v>
      </c>
      <c r="D662">
        <v>95</v>
      </c>
      <c r="E662" t="s">
        <v>375</v>
      </c>
    </row>
    <row r="663" spans="1:5" x14ac:dyDescent="0.3">
      <c r="A663">
        <v>281</v>
      </c>
      <c r="B663" t="s">
        <v>6</v>
      </c>
      <c r="C663" t="s">
        <v>36</v>
      </c>
      <c r="D663">
        <v>82</v>
      </c>
      <c r="E663" t="s">
        <v>375</v>
      </c>
    </row>
    <row r="664" spans="1:5" x14ac:dyDescent="0.3">
      <c r="A664">
        <v>281</v>
      </c>
      <c r="B664" t="s">
        <v>33</v>
      </c>
      <c r="C664" t="s">
        <v>68</v>
      </c>
      <c r="D664">
        <v>1</v>
      </c>
      <c r="E664" t="s">
        <v>335</v>
      </c>
    </row>
    <row r="665" spans="1:5" x14ac:dyDescent="0.3">
      <c r="A665">
        <v>281</v>
      </c>
      <c r="B665" t="s">
        <v>76</v>
      </c>
      <c r="C665" t="s">
        <v>68</v>
      </c>
      <c r="D665">
        <v>1</v>
      </c>
      <c r="E665" t="s">
        <v>400</v>
      </c>
    </row>
    <row r="666" spans="1:5" x14ac:dyDescent="0.3">
      <c r="A666">
        <v>281</v>
      </c>
      <c r="B666" t="s">
        <v>78</v>
      </c>
      <c r="C666" t="s">
        <v>37</v>
      </c>
      <c r="D666">
        <v>0</v>
      </c>
      <c r="E666" t="s">
        <v>269</v>
      </c>
    </row>
    <row r="667" spans="1:5" x14ac:dyDescent="0.3">
      <c r="A667">
        <v>281</v>
      </c>
      <c r="B667" t="s">
        <v>74</v>
      </c>
      <c r="C667" t="s">
        <v>65</v>
      </c>
      <c r="D667">
        <v>2</v>
      </c>
      <c r="E667" t="s">
        <v>340</v>
      </c>
    </row>
    <row r="668" spans="1:5" x14ac:dyDescent="0.3">
      <c r="A668">
        <v>281</v>
      </c>
      <c r="B668" t="s">
        <v>7</v>
      </c>
      <c r="C668" t="s">
        <v>36</v>
      </c>
      <c r="D668">
        <v>82</v>
      </c>
      <c r="E668" t="s">
        <v>375</v>
      </c>
    </row>
    <row r="669" spans="1:5" x14ac:dyDescent="0.3">
      <c r="A669">
        <v>281</v>
      </c>
      <c r="B669" t="s">
        <v>77</v>
      </c>
      <c r="C669" t="s">
        <v>65</v>
      </c>
      <c r="D669">
        <v>0</v>
      </c>
      <c r="E669" t="s">
        <v>124</v>
      </c>
    </row>
    <row r="670" spans="1:5" x14ac:dyDescent="0.3">
      <c r="A670">
        <v>282</v>
      </c>
      <c r="B670" t="s">
        <v>27</v>
      </c>
      <c r="C670" t="s">
        <v>84</v>
      </c>
      <c r="D670">
        <v>5</v>
      </c>
      <c r="E670" t="s">
        <v>375</v>
      </c>
    </row>
    <row r="671" spans="1:5" x14ac:dyDescent="0.3">
      <c r="A671">
        <v>282</v>
      </c>
      <c r="B671" t="s">
        <v>76</v>
      </c>
      <c r="C671" t="s">
        <v>68</v>
      </c>
      <c r="D671">
        <v>1</v>
      </c>
      <c r="E671" t="s">
        <v>424</v>
      </c>
    </row>
    <row r="672" spans="1:5" x14ac:dyDescent="0.3">
      <c r="A672">
        <v>282</v>
      </c>
      <c r="B672" t="s">
        <v>78</v>
      </c>
      <c r="C672" t="s">
        <v>37</v>
      </c>
      <c r="D672">
        <v>1</v>
      </c>
      <c r="E672" t="s">
        <v>140</v>
      </c>
    </row>
    <row r="673" spans="1:5" x14ac:dyDescent="0.3">
      <c r="A673">
        <v>282</v>
      </c>
      <c r="B673" t="s">
        <v>77</v>
      </c>
      <c r="C673" t="s">
        <v>65</v>
      </c>
      <c r="D673">
        <v>0</v>
      </c>
      <c r="E673" t="s">
        <v>360</v>
      </c>
    </row>
    <row r="674" spans="1:5" x14ac:dyDescent="0.3">
      <c r="A674">
        <v>282</v>
      </c>
      <c r="B674" t="s">
        <v>74</v>
      </c>
      <c r="C674" t="s">
        <v>65</v>
      </c>
      <c r="D674">
        <v>2</v>
      </c>
      <c r="E674" t="s">
        <v>360</v>
      </c>
    </row>
    <row r="675" spans="1:5" x14ac:dyDescent="0.3">
      <c r="A675">
        <v>282</v>
      </c>
      <c r="B675" t="s">
        <v>35</v>
      </c>
      <c r="C675" t="s">
        <v>68</v>
      </c>
      <c r="D675">
        <v>6</v>
      </c>
      <c r="E675" t="s">
        <v>423</v>
      </c>
    </row>
    <row r="676" spans="1:5" x14ac:dyDescent="0.3">
      <c r="A676">
        <v>282</v>
      </c>
      <c r="B676" t="s">
        <v>29</v>
      </c>
      <c r="C676" t="s">
        <v>68</v>
      </c>
      <c r="D676">
        <v>0</v>
      </c>
      <c r="E676" t="s">
        <v>94</v>
      </c>
    </row>
    <row r="677" spans="1:5" x14ac:dyDescent="0.3">
      <c r="A677">
        <v>282</v>
      </c>
      <c r="B677" t="s">
        <v>17</v>
      </c>
      <c r="C677" t="s">
        <v>37</v>
      </c>
      <c r="D677">
        <v>0</v>
      </c>
      <c r="E677" t="s">
        <v>217</v>
      </c>
    </row>
    <row r="678" spans="1:5" x14ac:dyDescent="0.3">
      <c r="A678">
        <v>282</v>
      </c>
      <c r="B678" t="s">
        <v>3</v>
      </c>
      <c r="C678" t="s">
        <v>37</v>
      </c>
      <c r="D678">
        <v>8</v>
      </c>
      <c r="E678" t="s">
        <v>413</v>
      </c>
    </row>
    <row r="679" spans="1:5" x14ac:dyDescent="0.3">
      <c r="A679">
        <v>282</v>
      </c>
      <c r="B679" t="s">
        <v>5</v>
      </c>
      <c r="C679" t="s">
        <v>36</v>
      </c>
      <c r="D679">
        <v>0</v>
      </c>
      <c r="E679" t="s">
        <v>355</v>
      </c>
    </row>
    <row r="680" spans="1:5" x14ac:dyDescent="0.3">
      <c r="A680">
        <v>282</v>
      </c>
      <c r="B680" t="s">
        <v>7</v>
      </c>
      <c r="C680" t="s">
        <v>36</v>
      </c>
      <c r="D680">
        <v>45</v>
      </c>
      <c r="E680" t="s">
        <v>375</v>
      </c>
    </row>
    <row r="681" spans="1:5" x14ac:dyDescent="0.3">
      <c r="A681">
        <v>282</v>
      </c>
      <c r="B681" t="s">
        <v>6</v>
      </c>
      <c r="C681" t="s">
        <v>36</v>
      </c>
      <c r="D681">
        <v>45</v>
      </c>
      <c r="E681" t="s">
        <v>407</v>
      </c>
    </row>
    <row r="682" spans="1:5" x14ac:dyDescent="0.3">
      <c r="A682">
        <v>282</v>
      </c>
      <c r="B682" t="s">
        <v>33</v>
      </c>
      <c r="C682" t="s">
        <v>68</v>
      </c>
      <c r="D682">
        <v>0</v>
      </c>
      <c r="E682" t="s">
        <v>400</v>
      </c>
    </row>
    <row r="683" spans="1:5" x14ac:dyDescent="0.3">
      <c r="A683">
        <v>283</v>
      </c>
      <c r="B683" t="s">
        <v>35</v>
      </c>
      <c r="C683" t="s">
        <v>68</v>
      </c>
      <c r="D683">
        <v>1</v>
      </c>
      <c r="E683" t="s">
        <v>437</v>
      </c>
    </row>
    <row r="684" spans="1:5" x14ac:dyDescent="0.3">
      <c r="A684">
        <v>283</v>
      </c>
      <c r="B684" t="s">
        <v>21</v>
      </c>
      <c r="C684" t="s">
        <v>65</v>
      </c>
      <c r="D684">
        <v>0</v>
      </c>
      <c r="E684" t="s">
        <v>430</v>
      </c>
    </row>
    <row r="685" spans="1:5" x14ac:dyDescent="0.3">
      <c r="A685">
        <v>283</v>
      </c>
      <c r="B685" t="s">
        <v>28</v>
      </c>
      <c r="C685" t="s">
        <v>68</v>
      </c>
      <c r="D685">
        <v>0</v>
      </c>
      <c r="E685" t="s">
        <v>217</v>
      </c>
    </row>
    <row r="686" spans="1:5" x14ac:dyDescent="0.3">
      <c r="A686">
        <v>283</v>
      </c>
      <c r="B686" t="s">
        <v>6</v>
      </c>
      <c r="C686" t="s">
        <v>36</v>
      </c>
      <c r="D686">
        <v>88</v>
      </c>
      <c r="E686" t="s">
        <v>185</v>
      </c>
    </row>
    <row r="687" spans="1:5" x14ac:dyDescent="0.3">
      <c r="A687">
        <v>283</v>
      </c>
      <c r="B687" t="s">
        <v>33</v>
      </c>
      <c r="C687" t="s">
        <v>68</v>
      </c>
      <c r="D687">
        <v>1</v>
      </c>
      <c r="E687" t="s">
        <v>94</v>
      </c>
    </row>
    <row r="688" spans="1:5" x14ac:dyDescent="0.3">
      <c r="A688">
        <v>283</v>
      </c>
      <c r="B688" t="s">
        <v>4</v>
      </c>
      <c r="C688" t="s">
        <v>36</v>
      </c>
      <c r="D688">
        <v>0</v>
      </c>
      <c r="E688" t="s">
        <v>408</v>
      </c>
    </row>
    <row r="689" spans="1:5" x14ac:dyDescent="0.3">
      <c r="A689">
        <v>283</v>
      </c>
      <c r="B689" t="s">
        <v>74</v>
      </c>
      <c r="C689" t="s">
        <v>65</v>
      </c>
      <c r="D689">
        <v>2</v>
      </c>
      <c r="E689" t="s">
        <v>226</v>
      </c>
    </row>
    <row r="690" spans="1:5" x14ac:dyDescent="0.3">
      <c r="A690">
        <v>283</v>
      </c>
      <c r="B690" t="s">
        <v>77</v>
      </c>
      <c r="C690" t="s">
        <v>65</v>
      </c>
      <c r="D690">
        <v>2</v>
      </c>
      <c r="E690" t="s">
        <v>438</v>
      </c>
    </row>
    <row r="691" spans="1:5" x14ac:dyDescent="0.3">
      <c r="A691">
        <v>283</v>
      </c>
      <c r="B691" t="s">
        <v>78</v>
      </c>
      <c r="C691" t="s">
        <v>37</v>
      </c>
      <c r="D691">
        <v>1</v>
      </c>
      <c r="E691" t="s">
        <v>381</v>
      </c>
    </row>
    <row r="692" spans="1:5" x14ac:dyDescent="0.3">
      <c r="A692">
        <v>283</v>
      </c>
      <c r="B692" t="s">
        <v>76</v>
      </c>
      <c r="C692" t="s">
        <v>68</v>
      </c>
      <c r="D692">
        <v>1</v>
      </c>
      <c r="E692" t="s">
        <v>217</v>
      </c>
    </row>
    <row r="693" spans="1:5" x14ac:dyDescent="0.3">
      <c r="A693">
        <v>283</v>
      </c>
      <c r="B693" t="s">
        <v>20</v>
      </c>
      <c r="C693" t="s">
        <v>65</v>
      </c>
      <c r="D693">
        <v>1</v>
      </c>
      <c r="E693" t="s">
        <v>226</v>
      </c>
    </row>
    <row r="694" spans="1:5" x14ac:dyDescent="0.3">
      <c r="A694">
        <v>283</v>
      </c>
      <c r="B694" t="s">
        <v>19</v>
      </c>
      <c r="C694" t="s">
        <v>65</v>
      </c>
      <c r="D694">
        <v>1</v>
      </c>
      <c r="E694" t="s">
        <v>400</v>
      </c>
    </row>
    <row r="695" spans="1:5" x14ac:dyDescent="0.3">
      <c r="A695">
        <v>283</v>
      </c>
      <c r="B695" t="s">
        <v>12</v>
      </c>
      <c r="C695" t="s">
        <v>37</v>
      </c>
      <c r="D695">
        <v>1</v>
      </c>
      <c r="E695" t="s">
        <v>425</v>
      </c>
    </row>
    <row r="696" spans="1:5" x14ac:dyDescent="0.3">
      <c r="A696">
        <v>283</v>
      </c>
      <c r="B696" t="s">
        <v>7</v>
      </c>
      <c r="C696" t="s">
        <v>36</v>
      </c>
      <c r="D696">
        <v>88</v>
      </c>
      <c r="E696" t="s">
        <v>185</v>
      </c>
    </row>
    <row r="697" spans="1:5" x14ac:dyDescent="0.3">
      <c r="A697">
        <v>284</v>
      </c>
      <c r="B697" t="s">
        <v>29</v>
      </c>
      <c r="C697" t="s">
        <v>68</v>
      </c>
      <c r="D697">
        <v>0</v>
      </c>
      <c r="E697" t="s">
        <v>94</v>
      </c>
    </row>
    <row r="698" spans="1:5" x14ac:dyDescent="0.3">
      <c r="A698">
        <v>284</v>
      </c>
      <c r="B698" t="s">
        <v>76</v>
      </c>
      <c r="C698" t="s">
        <v>68</v>
      </c>
      <c r="D698">
        <v>1</v>
      </c>
      <c r="E698" t="s">
        <v>124</v>
      </c>
    </row>
    <row r="699" spans="1:5" x14ac:dyDescent="0.3">
      <c r="A699">
        <v>284</v>
      </c>
      <c r="B699" t="s">
        <v>5</v>
      </c>
      <c r="C699" t="s">
        <v>36</v>
      </c>
      <c r="D699">
        <v>0</v>
      </c>
      <c r="E699" t="s">
        <v>399</v>
      </c>
    </row>
    <row r="700" spans="1:5" x14ac:dyDescent="0.3">
      <c r="A700">
        <v>284</v>
      </c>
      <c r="B700" t="s">
        <v>17</v>
      </c>
      <c r="C700" t="s">
        <v>37</v>
      </c>
      <c r="D700">
        <v>13</v>
      </c>
      <c r="E700" t="s">
        <v>409</v>
      </c>
    </row>
    <row r="701" spans="1:5" x14ac:dyDescent="0.3">
      <c r="A701">
        <v>284</v>
      </c>
      <c r="B701" t="s">
        <v>20</v>
      </c>
      <c r="C701" t="s">
        <v>65</v>
      </c>
      <c r="D701">
        <v>4</v>
      </c>
      <c r="E701" t="s">
        <v>140</v>
      </c>
    </row>
    <row r="702" spans="1:5" x14ac:dyDescent="0.3">
      <c r="A702">
        <v>284</v>
      </c>
      <c r="B702" t="s">
        <v>28</v>
      </c>
      <c r="C702" t="s">
        <v>68</v>
      </c>
      <c r="D702">
        <v>0</v>
      </c>
      <c r="E702" t="s">
        <v>124</v>
      </c>
    </row>
    <row r="703" spans="1:5" x14ac:dyDescent="0.3">
      <c r="A703">
        <v>284</v>
      </c>
      <c r="B703" t="s">
        <v>33</v>
      </c>
      <c r="C703" t="s">
        <v>68</v>
      </c>
      <c r="D703">
        <v>1</v>
      </c>
      <c r="E703" t="s">
        <v>335</v>
      </c>
    </row>
    <row r="704" spans="1:5" x14ac:dyDescent="0.3">
      <c r="A704">
        <v>284</v>
      </c>
      <c r="B704" t="s">
        <v>7</v>
      </c>
      <c r="C704" t="s">
        <v>36</v>
      </c>
      <c r="D704">
        <v>98</v>
      </c>
      <c r="E704" t="s">
        <v>415</v>
      </c>
    </row>
    <row r="705" spans="1:5" x14ac:dyDescent="0.3">
      <c r="A705">
        <v>284</v>
      </c>
      <c r="B705" t="s">
        <v>34</v>
      </c>
      <c r="C705" t="s">
        <v>68</v>
      </c>
      <c r="D705">
        <v>0</v>
      </c>
      <c r="E705" t="s">
        <v>400</v>
      </c>
    </row>
    <row r="706" spans="1:5" x14ac:dyDescent="0.3">
      <c r="A706">
        <v>284</v>
      </c>
      <c r="B706" t="s">
        <v>74</v>
      </c>
      <c r="C706" t="s">
        <v>65</v>
      </c>
      <c r="D706">
        <v>1</v>
      </c>
      <c r="E706" t="s">
        <v>426</v>
      </c>
    </row>
    <row r="707" spans="1:5" x14ac:dyDescent="0.3">
      <c r="A707">
        <v>284</v>
      </c>
      <c r="B707" t="s">
        <v>6</v>
      </c>
      <c r="C707" t="s">
        <v>36</v>
      </c>
      <c r="D707">
        <v>98</v>
      </c>
      <c r="E707" t="s">
        <v>414</v>
      </c>
    </row>
    <row r="708" spans="1:5" x14ac:dyDescent="0.3">
      <c r="A708">
        <v>284</v>
      </c>
      <c r="B708" t="s">
        <v>78</v>
      </c>
      <c r="C708" t="s">
        <v>37</v>
      </c>
      <c r="D708">
        <v>1</v>
      </c>
      <c r="E708" t="s">
        <v>371</v>
      </c>
    </row>
    <row r="709" spans="1:5" x14ac:dyDescent="0.3">
      <c r="A709">
        <v>284</v>
      </c>
      <c r="B709" t="s">
        <v>27</v>
      </c>
      <c r="C709" t="s">
        <v>84</v>
      </c>
      <c r="D709">
        <v>6</v>
      </c>
      <c r="E709" t="s">
        <v>427</v>
      </c>
    </row>
    <row r="710" spans="1:5" x14ac:dyDescent="0.3">
      <c r="A710">
        <v>285</v>
      </c>
      <c r="B710" t="s">
        <v>76</v>
      </c>
      <c r="C710" t="s">
        <v>68</v>
      </c>
      <c r="D710">
        <v>1</v>
      </c>
      <c r="E710" t="s">
        <v>217</v>
      </c>
    </row>
    <row r="711" spans="1:5" x14ac:dyDescent="0.3">
      <c r="A711">
        <v>285</v>
      </c>
      <c r="B711" t="s">
        <v>28</v>
      </c>
      <c r="C711" t="s">
        <v>68</v>
      </c>
      <c r="D711">
        <v>0</v>
      </c>
      <c r="E711" t="s">
        <v>217</v>
      </c>
    </row>
    <row r="712" spans="1:5" x14ac:dyDescent="0.3">
      <c r="A712">
        <v>285</v>
      </c>
      <c r="B712" t="s">
        <v>6</v>
      </c>
      <c r="C712" t="s">
        <v>36</v>
      </c>
      <c r="D712">
        <v>36</v>
      </c>
      <c r="E712" t="s">
        <v>432</v>
      </c>
    </row>
    <row r="713" spans="1:5" x14ac:dyDescent="0.3">
      <c r="A713">
        <v>285</v>
      </c>
      <c r="B713" t="s">
        <v>78</v>
      </c>
      <c r="C713" t="s">
        <v>37</v>
      </c>
      <c r="D713">
        <v>1</v>
      </c>
      <c r="E713" t="s">
        <v>217</v>
      </c>
    </row>
    <row r="714" spans="1:5" x14ac:dyDescent="0.3">
      <c r="A714">
        <v>285</v>
      </c>
      <c r="B714" t="s">
        <v>77</v>
      </c>
      <c r="C714" t="s">
        <v>65</v>
      </c>
      <c r="D714">
        <v>1</v>
      </c>
      <c r="E714" t="s">
        <v>422</v>
      </c>
    </row>
    <row r="715" spans="1:5" x14ac:dyDescent="0.3">
      <c r="A715">
        <v>285</v>
      </c>
      <c r="B715" t="s">
        <v>74</v>
      </c>
      <c r="C715" t="s">
        <v>65</v>
      </c>
      <c r="D715">
        <v>2</v>
      </c>
      <c r="E715" t="s">
        <v>217</v>
      </c>
    </row>
    <row r="716" spans="1:5" x14ac:dyDescent="0.3">
      <c r="A716">
        <v>285</v>
      </c>
      <c r="B716" t="s">
        <v>38</v>
      </c>
      <c r="C716" t="s">
        <v>68</v>
      </c>
      <c r="D716">
        <v>0</v>
      </c>
      <c r="E716" t="s">
        <v>236</v>
      </c>
    </row>
    <row r="717" spans="1:5" x14ac:dyDescent="0.3">
      <c r="A717">
        <v>285</v>
      </c>
      <c r="B717" t="s">
        <v>26</v>
      </c>
      <c r="C717" t="s">
        <v>84</v>
      </c>
      <c r="D717">
        <v>0</v>
      </c>
      <c r="E717" t="s">
        <v>217</v>
      </c>
    </row>
    <row r="718" spans="1:5" x14ac:dyDescent="0.3">
      <c r="A718">
        <v>285</v>
      </c>
      <c r="B718" t="s">
        <v>5</v>
      </c>
      <c r="C718" t="s">
        <v>36</v>
      </c>
      <c r="D718">
        <v>0</v>
      </c>
      <c r="E718" t="s">
        <v>431</v>
      </c>
    </row>
    <row r="719" spans="1:5" x14ac:dyDescent="0.3">
      <c r="A719">
        <v>285</v>
      </c>
      <c r="B719" t="s">
        <v>4</v>
      </c>
      <c r="C719" t="s">
        <v>36</v>
      </c>
      <c r="D719">
        <v>1</v>
      </c>
      <c r="E719" t="s">
        <v>375</v>
      </c>
    </row>
    <row r="720" spans="1:5" x14ac:dyDescent="0.3">
      <c r="A720">
        <v>285</v>
      </c>
      <c r="B720" t="s">
        <v>7</v>
      </c>
      <c r="C720" t="s">
        <v>36</v>
      </c>
      <c r="D720">
        <v>40</v>
      </c>
      <c r="E720" t="s">
        <v>402</v>
      </c>
    </row>
    <row r="721" spans="1:5" x14ac:dyDescent="0.3">
      <c r="A721">
        <v>285</v>
      </c>
      <c r="B721" t="s">
        <v>33</v>
      </c>
      <c r="C721" t="s">
        <v>68</v>
      </c>
      <c r="D721">
        <v>1</v>
      </c>
      <c r="E721" t="s">
        <v>217</v>
      </c>
    </row>
    <row r="722" spans="1:5" x14ac:dyDescent="0.3">
      <c r="A722">
        <v>285</v>
      </c>
      <c r="B722" t="s">
        <v>35</v>
      </c>
      <c r="C722" t="s">
        <v>68</v>
      </c>
      <c r="D722">
        <v>0</v>
      </c>
      <c r="E722" t="s">
        <v>217</v>
      </c>
    </row>
    <row r="723" spans="1:5" x14ac:dyDescent="0.3">
      <c r="A723">
        <v>286</v>
      </c>
      <c r="B723" t="s">
        <v>31</v>
      </c>
      <c r="C723" t="s">
        <v>68</v>
      </c>
      <c r="D723">
        <v>1</v>
      </c>
      <c r="E723" t="s">
        <v>442</v>
      </c>
    </row>
    <row r="724" spans="1:5" x14ac:dyDescent="0.3">
      <c r="A724">
        <v>286</v>
      </c>
      <c r="B724" t="s">
        <v>7</v>
      </c>
      <c r="C724" t="s">
        <v>36</v>
      </c>
      <c r="D724">
        <v>35</v>
      </c>
      <c r="E724" t="s">
        <v>94</v>
      </c>
    </row>
    <row r="725" spans="1:5" x14ac:dyDescent="0.3">
      <c r="A725">
        <v>286</v>
      </c>
      <c r="B725" t="s">
        <v>6</v>
      </c>
      <c r="C725" t="s">
        <v>36</v>
      </c>
      <c r="D725">
        <v>35</v>
      </c>
      <c r="E725" t="s">
        <v>441</v>
      </c>
    </row>
    <row r="726" spans="1:5" x14ac:dyDescent="0.3">
      <c r="A726">
        <v>286</v>
      </c>
      <c r="B726" t="s">
        <v>76</v>
      </c>
      <c r="C726" t="s">
        <v>68</v>
      </c>
      <c r="D726">
        <v>1</v>
      </c>
      <c r="E726" t="s">
        <v>439</v>
      </c>
    </row>
    <row r="727" spans="1:5" x14ac:dyDescent="0.3">
      <c r="A727">
        <v>286</v>
      </c>
      <c r="B727" t="s">
        <v>78</v>
      </c>
      <c r="C727" t="s">
        <v>37</v>
      </c>
      <c r="D727">
        <v>876577</v>
      </c>
      <c r="E727" t="s">
        <v>217</v>
      </c>
    </row>
    <row r="728" spans="1:5" x14ac:dyDescent="0.3">
      <c r="A728">
        <v>286</v>
      </c>
      <c r="B728" t="s">
        <v>77</v>
      </c>
      <c r="C728" t="s">
        <v>65</v>
      </c>
      <c r="D728">
        <v>1</v>
      </c>
      <c r="E728" t="s">
        <v>116</v>
      </c>
    </row>
    <row r="729" spans="1:5" x14ac:dyDescent="0.3">
      <c r="A729">
        <v>286</v>
      </c>
      <c r="B729" t="s">
        <v>74</v>
      </c>
      <c r="C729" t="s">
        <v>65</v>
      </c>
      <c r="D729">
        <v>1</v>
      </c>
      <c r="E729" t="s">
        <v>94</v>
      </c>
    </row>
    <row r="730" spans="1:5" x14ac:dyDescent="0.3">
      <c r="A730">
        <v>286</v>
      </c>
      <c r="B730" t="s">
        <v>33</v>
      </c>
      <c r="C730" t="s">
        <v>68</v>
      </c>
      <c r="D730">
        <v>1</v>
      </c>
      <c r="E730" t="s">
        <v>94</v>
      </c>
    </row>
    <row r="731" spans="1:5" x14ac:dyDescent="0.3">
      <c r="A731">
        <v>286</v>
      </c>
      <c r="B731" t="s">
        <v>28</v>
      </c>
      <c r="C731" t="s">
        <v>68</v>
      </c>
      <c r="D731">
        <v>0</v>
      </c>
      <c r="E731" t="s">
        <v>217</v>
      </c>
    </row>
    <row r="732" spans="1:5" x14ac:dyDescent="0.3">
      <c r="A732">
        <v>286</v>
      </c>
      <c r="B732" t="s">
        <v>5</v>
      </c>
      <c r="C732" t="s">
        <v>36</v>
      </c>
      <c r="D732">
        <v>0</v>
      </c>
      <c r="E732" t="s">
        <v>360</v>
      </c>
    </row>
    <row r="733" spans="1:5" x14ac:dyDescent="0.3">
      <c r="A733">
        <v>286</v>
      </c>
      <c r="B733" t="s">
        <v>4</v>
      </c>
      <c r="C733" t="s">
        <v>36</v>
      </c>
      <c r="D733">
        <v>0</v>
      </c>
      <c r="E733" t="s">
        <v>440</v>
      </c>
    </row>
    <row r="734" spans="1:5" x14ac:dyDescent="0.3">
      <c r="A734">
        <v>288</v>
      </c>
      <c r="B734" t="s">
        <v>78</v>
      </c>
      <c r="C734" t="s">
        <v>37</v>
      </c>
      <c r="D734">
        <v>2</v>
      </c>
      <c r="E734" t="s">
        <v>400</v>
      </c>
    </row>
    <row r="735" spans="1:5" x14ac:dyDescent="0.3">
      <c r="A735">
        <v>288</v>
      </c>
      <c r="B735" t="s">
        <v>76</v>
      </c>
      <c r="C735" t="s">
        <v>68</v>
      </c>
      <c r="D735">
        <v>1</v>
      </c>
      <c r="E735" t="s">
        <v>400</v>
      </c>
    </row>
    <row r="736" spans="1:5" x14ac:dyDescent="0.3">
      <c r="A736">
        <v>288</v>
      </c>
      <c r="B736" t="s">
        <v>5</v>
      </c>
      <c r="C736" t="s">
        <v>36</v>
      </c>
      <c r="D736">
        <v>1</v>
      </c>
      <c r="E736" t="s">
        <v>355</v>
      </c>
    </row>
    <row r="737" spans="1:5" x14ac:dyDescent="0.3">
      <c r="A737">
        <v>288</v>
      </c>
      <c r="B737" t="s">
        <v>34</v>
      </c>
      <c r="C737" t="s">
        <v>68</v>
      </c>
      <c r="D737">
        <v>0</v>
      </c>
      <c r="E737" t="s">
        <v>386</v>
      </c>
    </row>
    <row r="738" spans="1:5" x14ac:dyDescent="0.3">
      <c r="A738">
        <v>288</v>
      </c>
      <c r="B738" t="s">
        <v>33</v>
      </c>
      <c r="C738" t="s">
        <v>68</v>
      </c>
      <c r="D738">
        <v>0</v>
      </c>
      <c r="E738" t="s">
        <v>375</v>
      </c>
    </row>
    <row r="739" spans="1:5" x14ac:dyDescent="0.3">
      <c r="A739">
        <v>288</v>
      </c>
      <c r="B739" t="s">
        <v>26</v>
      </c>
      <c r="C739" t="s">
        <v>84</v>
      </c>
      <c r="D739">
        <v>0</v>
      </c>
      <c r="E739" t="s">
        <v>400</v>
      </c>
    </row>
    <row r="740" spans="1:5" x14ac:dyDescent="0.3">
      <c r="A740">
        <v>288</v>
      </c>
      <c r="B740" t="s">
        <v>29</v>
      </c>
      <c r="C740" t="s">
        <v>68</v>
      </c>
      <c r="D740">
        <v>0</v>
      </c>
      <c r="E740" t="s">
        <v>433</v>
      </c>
    </row>
    <row r="741" spans="1:5" x14ac:dyDescent="0.3">
      <c r="A741">
        <v>288</v>
      </c>
      <c r="B741" t="s">
        <v>77</v>
      </c>
      <c r="C741" t="s">
        <v>65</v>
      </c>
      <c r="D741">
        <v>1</v>
      </c>
      <c r="E741" t="s">
        <v>400</v>
      </c>
    </row>
    <row r="742" spans="1:5" x14ac:dyDescent="0.3">
      <c r="A742">
        <v>288</v>
      </c>
      <c r="B742" t="s">
        <v>28</v>
      </c>
      <c r="C742" t="s">
        <v>68</v>
      </c>
      <c r="D742">
        <v>1</v>
      </c>
      <c r="E742" t="s">
        <v>393</v>
      </c>
    </row>
    <row r="743" spans="1:5" x14ac:dyDescent="0.3">
      <c r="A743">
        <v>288</v>
      </c>
      <c r="B743" t="s">
        <v>27</v>
      </c>
      <c r="C743" t="s">
        <v>84</v>
      </c>
      <c r="D743">
        <v>2</v>
      </c>
      <c r="E743" t="s">
        <v>400</v>
      </c>
    </row>
    <row r="744" spans="1:5" x14ac:dyDescent="0.3">
      <c r="A744">
        <v>288</v>
      </c>
      <c r="B744" t="s">
        <v>80</v>
      </c>
      <c r="C744" t="s">
        <v>68</v>
      </c>
      <c r="D744">
        <v>0</v>
      </c>
      <c r="E744" t="s">
        <v>400</v>
      </c>
    </row>
    <row r="745" spans="1:5" x14ac:dyDescent="0.3">
      <c r="A745">
        <v>288</v>
      </c>
      <c r="B745" t="s">
        <v>7</v>
      </c>
      <c r="C745" t="s">
        <v>36</v>
      </c>
      <c r="D745">
        <v>88</v>
      </c>
      <c r="E745" t="s">
        <v>375</v>
      </c>
    </row>
    <row r="746" spans="1:5" x14ac:dyDescent="0.3">
      <c r="A746">
        <v>288</v>
      </c>
      <c r="B746" t="s">
        <v>6</v>
      </c>
      <c r="C746" t="s">
        <v>36</v>
      </c>
      <c r="D746">
        <v>85</v>
      </c>
      <c r="E746" t="s">
        <v>375</v>
      </c>
    </row>
    <row r="747" spans="1:5" x14ac:dyDescent="0.3">
      <c r="A747">
        <v>288</v>
      </c>
      <c r="B747" t="s">
        <v>35</v>
      </c>
      <c r="C747" t="s">
        <v>68</v>
      </c>
      <c r="D747">
        <v>2</v>
      </c>
      <c r="E747" t="s">
        <v>400</v>
      </c>
    </row>
    <row r="748" spans="1:5" x14ac:dyDescent="0.3">
      <c r="A748">
        <v>288</v>
      </c>
      <c r="B748" t="s">
        <v>74</v>
      </c>
      <c r="C748" t="s">
        <v>65</v>
      </c>
      <c r="D748">
        <v>1</v>
      </c>
      <c r="E748" t="s">
        <v>400</v>
      </c>
    </row>
    <row r="749" spans="1:5" x14ac:dyDescent="0.3">
      <c r="A749">
        <v>288</v>
      </c>
      <c r="B749" t="s">
        <v>8</v>
      </c>
      <c r="C749" t="s">
        <v>36</v>
      </c>
      <c r="D749">
        <v>8</v>
      </c>
      <c r="E749" t="s">
        <v>375</v>
      </c>
    </row>
    <row r="750" spans="1:5" x14ac:dyDescent="0.3">
      <c r="A750">
        <v>289</v>
      </c>
      <c r="B750" t="s">
        <v>6</v>
      </c>
      <c r="C750" t="s">
        <v>36</v>
      </c>
      <c r="D750">
        <v>41</v>
      </c>
      <c r="E750" t="s">
        <v>114</v>
      </c>
    </row>
    <row r="751" spans="1:5" x14ac:dyDescent="0.3">
      <c r="A751">
        <v>289</v>
      </c>
      <c r="B751" t="s">
        <v>7</v>
      </c>
      <c r="C751" t="s">
        <v>36</v>
      </c>
      <c r="D751">
        <v>41</v>
      </c>
      <c r="E751" t="s">
        <v>114</v>
      </c>
    </row>
    <row r="752" spans="1:5" x14ac:dyDescent="0.3">
      <c r="A752">
        <v>289</v>
      </c>
      <c r="B752" t="s">
        <v>9</v>
      </c>
      <c r="C752" t="s">
        <v>37</v>
      </c>
      <c r="D752">
        <v>21</v>
      </c>
      <c r="E752" t="s">
        <v>85</v>
      </c>
    </row>
    <row r="753" spans="1:5" x14ac:dyDescent="0.3">
      <c r="A753">
        <v>289</v>
      </c>
      <c r="B753" t="s">
        <v>27</v>
      </c>
      <c r="C753" t="s">
        <v>84</v>
      </c>
      <c r="D753">
        <v>1</v>
      </c>
      <c r="E753" t="s">
        <v>124</v>
      </c>
    </row>
    <row r="754" spans="1:5" x14ac:dyDescent="0.3">
      <c r="A754">
        <v>289</v>
      </c>
      <c r="B754" t="s">
        <v>76</v>
      </c>
      <c r="C754" t="s">
        <v>68</v>
      </c>
      <c r="D754">
        <v>1</v>
      </c>
      <c r="E754" t="s">
        <v>443</v>
      </c>
    </row>
    <row r="755" spans="1:5" x14ac:dyDescent="0.3">
      <c r="A755">
        <v>289</v>
      </c>
      <c r="B755" t="s">
        <v>33</v>
      </c>
      <c r="C755" t="s">
        <v>68</v>
      </c>
      <c r="D755">
        <v>1</v>
      </c>
      <c r="E755" t="s">
        <v>124</v>
      </c>
    </row>
    <row r="756" spans="1:5" x14ac:dyDescent="0.3">
      <c r="A756">
        <v>289</v>
      </c>
      <c r="B756" t="s">
        <v>34</v>
      </c>
      <c r="C756" t="s">
        <v>68</v>
      </c>
      <c r="D756">
        <v>1</v>
      </c>
      <c r="E756" t="s">
        <v>400</v>
      </c>
    </row>
    <row r="757" spans="1:5" x14ac:dyDescent="0.3">
      <c r="A757">
        <v>289</v>
      </c>
      <c r="B757" t="s">
        <v>74</v>
      </c>
      <c r="C757" t="s">
        <v>65</v>
      </c>
      <c r="D757">
        <v>1</v>
      </c>
      <c r="E757" t="s">
        <v>114</v>
      </c>
    </row>
    <row r="758" spans="1:5" x14ac:dyDescent="0.3">
      <c r="A758">
        <v>289</v>
      </c>
      <c r="B758" t="s">
        <v>77</v>
      </c>
      <c r="C758" t="s">
        <v>65</v>
      </c>
      <c r="D758">
        <v>1</v>
      </c>
      <c r="E758" t="s">
        <v>140</v>
      </c>
    </row>
    <row r="759" spans="1:5" x14ac:dyDescent="0.3">
      <c r="A759">
        <v>289</v>
      </c>
      <c r="B759" t="s">
        <v>78</v>
      </c>
      <c r="C759" t="s">
        <v>37</v>
      </c>
      <c r="D759">
        <v>1</v>
      </c>
      <c r="E759" t="s">
        <v>217</v>
      </c>
    </row>
    <row r="760" spans="1:5" x14ac:dyDescent="0.3">
      <c r="A760">
        <v>291</v>
      </c>
      <c r="B760" t="s">
        <v>4</v>
      </c>
      <c r="C760" t="s">
        <v>36</v>
      </c>
      <c r="D760">
        <v>0</v>
      </c>
      <c r="E760" t="s">
        <v>217</v>
      </c>
    </row>
    <row r="761" spans="1:5" x14ac:dyDescent="0.3">
      <c r="A761">
        <v>291</v>
      </c>
      <c r="B761" t="s">
        <v>7</v>
      </c>
      <c r="C761" t="s">
        <v>36</v>
      </c>
      <c r="D761">
        <v>84</v>
      </c>
      <c r="E761" t="s">
        <v>436</v>
      </c>
    </row>
    <row r="762" spans="1:5" x14ac:dyDescent="0.3">
      <c r="A762">
        <v>291</v>
      </c>
      <c r="B762" t="s">
        <v>78</v>
      </c>
      <c r="C762" t="s">
        <v>37</v>
      </c>
      <c r="D762">
        <v>0</v>
      </c>
      <c r="E762" t="s">
        <v>434</v>
      </c>
    </row>
    <row r="763" spans="1:5" x14ac:dyDescent="0.3">
      <c r="A763">
        <v>291</v>
      </c>
      <c r="B763" t="s">
        <v>5</v>
      </c>
      <c r="C763" t="s">
        <v>36</v>
      </c>
      <c r="D763">
        <v>0</v>
      </c>
      <c r="E763" t="s">
        <v>236</v>
      </c>
    </row>
    <row r="764" spans="1:5" x14ac:dyDescent="0.3">
      <c r="A764">
        <v>291</v>
      </c>
      <c r="B764" t="s">
        <v>12</v>
      </c>
      <c r="C764" t="s">
        <v>37</v>
      </c>
      <c r="D764">
        <v>2</v>
      </c>
      <c r="E764" t="s">
        <v>435</v>
      </c>
    </row>
    <row r="765" spans="1:5" x14ac:dyDescent="0.3">
      <c r="A765">
        <v>291</v>
      </c>
      <c r="B765" t="s">
        <v>28</v>
      </c>
      <c r="C765" t="s">
        <v>68</v>
      </c>
      <c r="D765">
        <v>0</v>
      </c>
      <c r="E765" t="s">
        <v>362</v>
      </c>
    </row>
    <row r="766" spans="1:5" x14ac:dyDescent="0.3">
      <c r="A766">
        <v>291</v>
      </c>
      <c r="B766" t="s">
        <v>33</v>
      </c>
      <c r="C766" t="s">
        <v>68</v>
      </c>
      <c r="D766">
        <v>1</v>
      </c>
      <c r="E766" t="s">
        <v>94</v>
      </c>
    </row>
    <row r="767" spans="1:5" x14ac:dyDescent="0.3">
      <c r="A767">
        <v>291</v>
      </c>
      <c r="B767" t="s">
        <v>35</v>
      </c>
      <c r="C767" t="s">
        <v>68</v>
      </c>
      <c r="D767">
        <v>2</v>
      </c>
      <c r="E767" t="s">
        <v>444</v>
      </c>
    </row>
    <row r="768" spans="1:5" x14ac:dyDescent="0.3">
      <c r="A768">
        <v>291</v>
      </c>
      <c r="B768" t="s">
        <v>74</v>
      </c>
      <c r="C768" t="s">
        <v>65</v>
      </c>
      <c r="D768">
        <v>1</v>
      </c>
      <c r="E768" t="s">
        <v>445</v>
      </c>
    </row>
    <row r="769" spans="1:5" x14ac:dyDescent="0.3">
      <c r="A769">
        <v>291</v>
      </c>
      <c r="B769" t="s">
        <v>76</v>
      </c>
      <c r="C769" t="s">
        <v>68</v>
      </c>
      <c r="D769">
        <v>1</v>
      </c>
      <c r="E769" t="s">
        <v>217</v>
      </c>
    </row>
    <row r="770" spans="1:5" x14ac:dyDescent="0.3">
      <c r="A770">
        <v>291</v>
      </c>
      <c r="B770" t="s">
        <v>6</v>
      </c>
      <c r="C770" t="s">
        <v>36</v>
      </c>
      <c r="D770">
        <v>85</v>
      </c>
      <c r="E770" t="s">
        <v>114</v>
      </c>
    </row>
    <row r="771" spans="1:5" x14ac:dyDescent="0.3">
      <c r="A771">
        <v>292</v>
      </c>
      <c r="B771" t="s">
        <v>78</v>
      </c>
      <c r="C771" t="s">
        <v>37</v>
      </c>
      <c r="D771">
        <v>1</v>
      </c>
      <c r="E771" t="s">
        <v>140</v>
      </c>
    </row>
    <row r="772" spans="1:5" x14ac:dyDescent="0.3">
      <c r="A772">
        <v>292</v>
      </c>
      <c r="B772" t="s">
        <v>76</v>
      </c>
      <c r="C772" t="s">
        <v>68</v>
      </c>
      <c r="D772">
        <v>1</v>
      </c>
      <c r="E772" t="s">
        <v>140</v>
      </c>
    </row>
    <row r="773" spans="1:5" x14ac:dyDescent="0.3">
      <c r="A773">
        <v>292</v>
      </c>
      <c r="B773" t="s">
        <v>7</v>
      </c>
      <c r="C773" t="s">
        <v>36</v>
      </c>
      <c r="D773">
        <v>116</v>
      </c>
      <c r="E773" t="s">
        <v>447</v>
      </c>
    </row>
    <row r="774" spans="1:5" x14ac:dyDescent="0.3">
      <c r="A774">
        <v>292</v>
      </c>
      <c r="B774" t="s">
        <v>5</v>
      </c>
      <c r="C774" t="s">
        <v>36</v>
      </c>
      <c r="D774">
        <v>0</v>
      </c>
      <c r="E774" t="s">
        <v>234</v>
      </c>
    </row>
    <row r="775" spans="1:5" x14ac:dyDescent="0.3">
      <c r="A775">
        <v>292</v>
      </c>
      <c r="B775" t="s">
        <v>29</v>
      </c>
      <c r="C775" t="s">
        <v>68</v>
      </c>
      <c r="D775">
        <v>8760</v>
      </c>
      <c r="E775" t="s">
        <v>140</v>
      </c>
    </row>
    <row r="776" spans="1:5" x14ac:dyDescent="0.3">
      <c r="A776">
        <v>292</v>
      </c>
      <c r="B776" t="s">
        <v>33</v>
      </c>
      <c r="C776" t="s">
        <v>68</v>
      </c>
      <c r="D776">
        <v>1</v>
      </c>
      <c r="E776" t="s">
        <v>217</v>
      </c>
    </row>
    <row r="777" spans="1:5" x14ac:dyDescent="0.3">
      <c r="A777">
        <v>292</v>
      </c>
      <c r="B777" t="s">
        <v>35</v>
      </c>
      <c r="C777" t="s">
        <v>68</v>
      </c>
      <c r="D777">
        <v>0</v>
      </c>
      <c r="E777" t="s">
        <v>140</v>
      </c>
    </row>
    <row r="778" spans="1:5" x14ac:dyDescent="0.3">
      <c r="A778">
        <v>292</v>
      </c>
      <c r="B778" t="s">
        <v>38</v>
      </c>
      <c r="C778" t="s">
        <v>68</v>
      </c>
      <c r="D778">
        <v>0</v>
      </c>
      <c r="E778" t="s">
        <v>386</v>
      </c>
    </row>
    <row r="779" spans="1:5" x14ac:dyDescent="0.3">
      <c r="A779">
        <v>292</v>
      </c>
      <c r="B779" t="s">
        <v>74</v>
      </c>
      <c r="C779" t="s">
        <v>65</v>
      </c>
      <c r="D779">
        <v>2</v>
      </c>
      <c r="E779" t="s">
        <v>140</v>
      </c>
    </row>
    <row r="780" spans="1:5" x14ac:dyDescent="0.3">
      <c r="A780">
        <v>292</v>
      </c>
      <c r="B780" t="s">
        <v>77</v>
      </c>
      <c r="C780" t="s">
        <v>65</v>
      </c>
      <c r="D780">
        <v>1</v>
      </c>
      <c r="E780" t="s">
        <v>140</v>
      </c>
    </row>
    <row r="781" spans="1:5" x14ac:dyDescent="0.3">
      <c r="A781">
        <v>292</v>
      </c>
      <c r="B781" t="s">
        <v>6</v>
      </c>
      <c r="C781" t="s">
        <v>36</v>
      </c>
      <c r="D781">
        <v>116</v>
      </c>
      <c r="E781" t="s">
        <v>446</v>
      </c>
    </row>
    <row r="782" spans="1:5" x14ac:dyDescent="0.3">
      <c r="A782">
        <v>295</v>
      </c>
      <c r="B782" t="s">
        <v>4</v>
      </c>
      <c r="C782" t="s">
        <v>36</v>
      </c>
      <c r="D782">
        <v>0</v>
      </c>
      <c r="E782" t="s">
        <v>402</v>
      </c>
    </row>
    <row r="783" spans="1:5" x14ac:dyDescent="0.3">
      <c r="A783">
        <v>295</v>
      </c>
      <c r="B783" t="s">
        <v>78</v>
      </c>
      <c r="C783" t="s">
        <v>37</v>
      </c>
      <c r="D783">
        <v>3</v>
      </c>
      <c r="E783" t="s">
        <v>393</v>
      </c>
    </row>
    <row r="784" spans="1:5" x14ac:dyDescent="0.3">
      <c r="A784">
        <v>295</v>
      </c>
      <c r="B784" t="s">
        <v>12</v>
      </c>
      <c r="C784" t="s">
        <v>37</v>
      </c>
      <c r="D784">
        <v>1</v>
      </c>
      <c r="E784" t="s">
        <v>236</v>
      </c>
    </row>
    <row r="785" spans="1:5" x14ac:dyDescent="0.3">
      <c r="A785">
        <v>295</v>
      </c>
      <c r="B785" t="s">
        <v>76</v>
      </c>
      <c r="C785" t="s">
        <v>68</v>
      </c>
      <c r="D785">
        <v>1</v>
      </c>
      <c r="E785" t="s">
        <v>448</v>
      </c>
    </row>
    <row r="786" spans="1:5" x14ac:dyDescent="0.3">
      <c r="A786">
        <v>295</v>
      </c>
      <c r="B786" t="s">
        <v>77</v>
      </c>
      <c r="C786" t="s">
        <v>65</v>
      </c>
      <c r="D786">
        <v>1</v>
      </c>
      <c r="E786" t="s">
        <v>393</v>
      </c>
    </row>
    <row r="787" spans="1:5" x14ac:dyDescent="0.3">
      <c r="A787">
        <v>295</v>
      </c>
      <c r="B787" t="s">
        <v>74</v>
      </c>
      <c r="C787" t="s">
        <v>65</v>
      </c>
      <c r="D787">
        <v>3</v>
      </c>
      <c r="E787" t="s">
        <v>140</v>
      </c>
    </row>
    <row r="788" spans="1:5" x14ac:dyDescent="0.3">
      <c r="A788">
        <v>295</v>
      </c>
      <c r="B788" t="s">
        <v>38</v>
      </c>
      <c r="C788" t="s">
        <v>68</v>
      </c>
      <c r="D788">
        <v>1</v>
      </c>
      <c r="E788" t="s">
        <v>459</v>
      </c>
    </row>
    <row r="789" spans="1:5" x14ac:dyDescent="0.3">
      <c r="A789">
        <v>295</v>
      </c>
      <c r="B789" t="s">
        <v>33</v>
      </c>
      <c r="C789" t="s">
        <v>68</v>
      </c>
      <c r="D789">
        <v>1</v>
      </c>
      <c r="E789" t="s">
        <v>217</v>
      </c>
    </row>
    <row r="790" spans="1:5" x14ac:dyDescent="0.3">
      <c r="A790">
        <v>295</v>
      </c>
      <c r="B790" t="s">
        <v>27</v>
      </c>
      <c r="C790" t="s">
        <v>84</v>
      </c>
      <c r="D790">
        <v>2</v>
      </c>
      <c r="E790" t="s">
        <v>375</v>
      </c>
    </row>
    <row r="791" spans="1:5" x14ac:dyDescent="0.3">
      <c r="A791">
        <v>295</v>
      </c>
      <c r="B791" t="s">
        <v>5</v>
      </c>
      <c r="C791" t="s">
        <v>36</v>
      </c>
      <c r="D791">
        <v>0</v>
      </c>
      <c r="E791" t="s">
        <v>393</v>
      </c>
    </row>
    <row r="792" spans="1:5" x14ac:dyDescent="0.3">
      <c r="A792">
        <v>295</v>
      </c>
      <c r="B792" t="s">
        <v>7</v>
      </c>
      <c r="C792" t="s">
        <v>36</v>
      </c>
      <c r="D792">
        <v>68</v>
      </c>
      <c r="E792" t="s">
        <v>402</v>
      </c>
    </row>
    <row r="793" spans="1:5" x14ac:dyDescent="0.3">
      <c r="A793">
        <v>295</v>
      </c>
      <c r="B793" t="s">
        <v>35</v>
      </c>
      <c r="C793" t="s">
        <v>68</v>
      </c>
      <c r="D793">
        <v>3</v>
      </c>
      <c r="E793" t="s">
        <v>82</v>
      </c>
    </row>
    <row r="794" spans="1:5" x14ac:dyDescent="0.3">
      <c r="A794">
        <v>295</v>
      </c>
      <c r="B794" t="s">
        <v>6</v>
      </c>
      <c r="C794" t="s">
        <v>36</v>
      </c>
      <c r="D794">
        <v>48</v>
      </c>
      <c r="E794" t="s">
        <v>375</v>
      </c>
    </row>
    <row r="795" spans="1:5" x14ac:dyDescent="0.3">
      <c r="A795">
        <v>298</v>
      </c>
      <c r="B795" t="s">
        <v>7</v>
      </c>
      <c r="C795" t="s">
        <v>36</v>
      </c>
      <c r="D795">
        <v>38</v>
      </c>
      <c r="E795" t="s">
        <v>450</v>
      </c>
    </row>
    <row r="796" spans="1:5" x14ac:dyDescent="0.3">
      <c r="A796">
        <v>298</v>
      </c>
      <c r="B796" t="s">
        <v>74</v>
      </c>
      <c r="C796" t="s">
        <v>65</v>
      </c>
      <c r="D796">
        <v>2</v>
      </c>
      <c r="E796" t="s">
        <v>340</v>
      </c>
    </row>
    <row r="797" spans="1:5" x14ac:dyDescent="0.3">
      <c r="A797">
        <v>298</v>
      </c>
      <c r="B797" t="s">
        <v>35</v>
      </c>
      <c r="C797" t="s">
        <v>68</v>
      </c>
      <c r="D797">
        <v>1</v>
      </c>
      <c r="E797" t="s">
        <v>453</v>
      </c>
    </row>
    <row r="798" spans="1:5" x14ac:dyDescent="0.3">
      <c r="A798">
        <v>298</v>
      </c>
      <c r="B798" t="s">
        <v>80</v>
      </c>
      <c r="C798" t="s">
        <v>68</v>
      </c>
      <c r="D798">
        <v>1</v>
      </c>
      <c r="E798" t="s">
        <v>355</v>
      </c>
    </row>
    <row r="799" spans="1:5" x14ac:dyDescent="0.3">
      <c r="A799">
        <v>298</v>
      </c>
      <c r="B799" t="s">
        <v>28</v>
      </c>
      <c r="C799" t="s">
        <v>68</v>
      </c>
      <c r="D799">
        <v>0</v>
      </c>
      <c r="E799" t="s">
        <v>217</v>
      </c>
    </row>
    <row r="800" spans="1:5" x14ac:dyDescent="0.3">
      <c r="A800">
        <v>298</v>
      </c>
      <c r="B800" t="s">
        <v>6</v>
      </c>
      <c r="C800" t="s">
        <v>36</v>
      </c>
      <c r="D800">
        <v>40</v>
      </c>
      <c r="E800" t="s">
        <v>449</v>
      </c>
    </row>
    <row r="801" spans="1:5" x14ac:dyDescent="0.3">
      <c r="A801">
        <v>298</v>
      </c>
      <c r="B801" t="s">
        <v>4</v>
      </c>
      <c r="C801" t="s">
        <v>36</v>
      </c>
      <c r="D801">
        <v>1</v>
      </c>
      <c r="E801" t="s">
        <v>451</v>
      </c>
    </row>
    <row r="802" spans="1:5" x14ac:dyDescent="0.3">
      <c r="A802">
        <v>298</v>
      </c>
      <c r="B802" t="s">
        <v>77</v>
      </c>
      <c r="C802" t="s">
        <v>65</v>
      </c>
      <c r="D802">
        <v>0</v>
      </c>
      <c r="E802" t="s">
        <v>454</v>
      </c>
    </row>
    <row r="803" spans="1:5" x14ac:dyDescent="0.3">
      <c r="A803">
        <v>298</v>
      </c>
      <c r="B803" t="s">
        <v>33</v>
      </c>
      <c r="C803" t="s">
        <v>68</v>
      </c>
      <c r="D803">
        <v>1</v>
      </c>
      <c r="E803" t="s">
        <v>335</v>
      </c>
    </row>
    <row r="804" spans="1:5" x14ac:dyDescent="0.3">
      <c r="A804">
        <v>298</v>
      </c>
      <c r="B804" t="s">
        <v>5</v>
      </c>
      <c r="C804" t="s">
        <v>36</v>
      </c>
      <c r="D804">
        <v>0</v>
      </c>
      <c r="E804" t="s">
        <v>452</v>
      </c>
    </row>
    <row r="805" spans="1:5" x14ac:dyDescent="0.3">
      <c r="A805">
        <v>298</v>
      </c>
      <c r="B805" t="s">
        <v>76</v>
      </c>
      <c r="C805" t="s">
        <v>68</v>
      </c>
      <c r="D805">
        <v>1</v>
      </c>
      <c r="E805" t="s">
        <v>217</v>
      </c>
    </row>
    <row r="806" spans="1:5" x14ac:dyDescent="0.3">
      <c r="A806">
        <v>298</v>
      </c>
      <c r="B806" t="s">
        <v>31</v>
      </c>
      <c r="C806" t="s">
        <v>68</v>
      </c>
      <c r="D806">
        <v>1</v>
      </c>
      <c r="E806" t="s">
        <v>456</v>
      </c>
    </row>
    <row r="807" spans="1:5" x14ac:dyDescent="0.3">
      <c r="A807">
        <v>298</v>
      </c>
      <c r="B807" t="s">
        <v>78</v>
      </c>
      <c r="C807" t="s">
        <v>37</v>
      </c>
      <c r="D807">
        <v>1</v>
      </c>
      <c r="E807" t="s">
        <v>455</v>
      </c>
    </row>
    <row r="808" spans="1:5" x14ac:dyDescent="0.3">
      <c r="A808">
        <v>300</v>
      </c>
      <c r="B808" t="s">
        <v>33</v>
      </c>
      <c r="C808" t="s">
        <v>68</v>
      </c>
      <c r="D808">
        <v>0</v>
      </c>
      <c r="E808" t="s">
        <v>94</v>
      </c>
    </row>
    <row r="809" spans="1:5" x14ac:dyDescent="0.3">
      <c r="A809">
        <v>300</v>
      </c>
      <c r="B809" t="s">
        <v>78</v>
      </c>
      <c r="C809" t="s">
        <v>37</v>
      </c>
      <c r="D809">
        <v>1</v>
      </c>
      <c r="E809" t="s">
        <v>94</v>
      </c>
    </row>
    <row r="810" spans="1:5" x14ac:dyDescent="0.3">
      <c r="A810">
        <v>300</v>
      </c>
      <c r="B810" t="s">
        <v>77</v>
      </c>
      <c r="C810" t="s">
        <v>65</v>
      </c>
      <c r="D810">
        <v>0</v>
      </c>
      <c r="E810" t="s">
        <v>217</v>
      </c>
    </row>
    <row r="811" spans="1:5" x14ac:dyDescent="0.3">
      <c r="A811">
        <v>300</v>
      </c>
      <c r="B811" t="s">
        <v>74</v>
      </c>
      <c r="C811" t="s">
        <v>65</v>
      </c>
      <c r="D811">
        <v>1</v>
      </c>
      <c r="E811" t="s">
        <v>226</v>
      </c>
    </row>
    <row r="812" spans="1:5" x14ac:dyDescent="0.3">
      <c r="A812">
        <v>300</v>
      </c>
      <c r="B812" t="s">
        <v>12</v>
      </c>
      <c r="C812" t="s">
        <v>37</v>
      </c>
      <c r="D812">
        <v>1</v>
      </c>
      <c r="E812" t="s">
        <v>460</v>
      </c>
    </row>
    <row r="813" spans="1:5" x14ac:dyDescent="0.3">
      <c r="A813">
        <v>300</v>
      </c>
      <c r="B813" t="s">
        <v>76</v>
      </c>
      <c r="C813" t="s">
        <v>68</v>
      </c>
      <c r="D813">
        <v>1</v>
      </c>
      <c r="E813" t="s">
        <v>217</v>
      </c>
    </row>
    <row r="814" spans="1:5" x14ac:dyDescent="0.3">
      <c r="A814">
        <v>300</v>
      </c>
      <c r="B814" t="s">
        <v>5</v>
      </c>
      <c r="C814" t="s">
        <v>36</v>
      </c>
      <c r="D814">
        <v>0</v>
      </c>
      <c r="E814" t="s">
        <v>461</v>
      </c>
    </row>
    <row r="815" spans="1:5" x14ac:dyDescent="0.3">
      <c r="A815">
        <v>300</v>
      </c>
      <c r="B815" t="s">
        <v>4</v>
      </c>
      <c r="C815" t="s">
        <v>36</v>
      </c>
      <c r="D815">
        <v>1</v>
      </c>
      <c r="E815" t="s">
        <v>462</v>
      </c>
    </row>
    <row r="816" spans="1:5" x14ac:dyDescent="0.3">
      <c r="A816">
        <v>300</v>
      </c>
      <c r="B816" t="s">
        <v>6</v>
      </c>
      <c r="C816" t="s">
        <v>36</v>
      </c>
      <c r="D816">
        <v>63</v>
      </c>
      <c r="E816" t="s">
        <v>463</v>
      </c>
    </row>
    <row r="817" spans="1:5" x14ac:dyDescent="0.3">
      <c r="A817">
        <v>300</v>
      </c>
      <c r="B817" t="s">
        <v>7</v>
      </c>
      <c r="C817" t="s">
        <v>36</v>
      </c>
      <c r="D817">
        <v>63</v>
      </c>
      <c r="E817" t="s">
        <v>447</v>
      </c>
    </row>
    <row r="818" spans="1:5" x14ac:dyDescent="0.3">
      <c r="A818">
        <v>301</v>
      </c>
      <c r="B818" t="s">
        <v>76</v>
      </c>
      <c r="C818" t="s">
        <v>68</v>
      </c>
      <c r="D818">
        <v>1</v>
      </c>
      <c r="E818" t="s">
        <v>94</v>
      </c>
    </row>
    <row r="819" spans="1:5" x14ac:dyDescent="0.3">
      <c r="A819">
        <v>301</v>
      </c>
      <c r="B819" t="s">
        <v>38</v>
      </c>
      <c r="C819" t="s">
        <v>68</v>
      </c>
      <c r="D819">
        <v>3</v>
      </c>
      <c r="E819" t="s">
        <v>375</v>
      </c>
    </row>
    <row r="820" spans="1:5" x14ac:dyDescent="0.3">
      <c r="A820">
        <v>301</v>
      </c>
      <c r="B820" t="s">
        <v>78</v>
      </c>
      <c r="C820" t="s">
        <v>37</v>
      </c>
      <c r="D820">
        <v>3</v>
      </c>
      <c r="E820" t="s">
        <v>393</v>
      </c>
    </row>
    <row r="821" spans="1:5" x14ac:dyDescent="0.3">
      <c r="A821">
        <v>301</v>
      </c>
      <c r="B821" t="s">
        <v>6</v>
      </c>
      <c r="C821" t="s">
        <v>36</v>
      </c>
      <c r="D821">
        <v>36</v>
      </c>
      <c r="E821" t="s">
        <v>457</v>
      </c>
    </row>
    <row r="822" spans="1:5" x14ac:dyDescent="0.3">
      <c r="A822">
        <v>301</v>
      </c>
      <c r="B822" t="s">
        <v>7</v>
      </c>
      <c r="C822" t="s">
        <v>36</v>
      </c>
      <c r="D822">
        <v>36</v>
      </c>
      <c r="E822" t="s">
        <v>457</v>
      </c>
    </row>
    <row r="823" spans="1:5" x14ac:dyDescent="0.3">
      <c r="A823">
        <v>301</v>
      </c>
      <c r="B823" t="s">
        <v>74</v>
      </c>
      <c r="C823" t="s">
        <v>65</v>
      </c>
      <c r="D823">
        <v>1</v>
      </c>
      <c r="E823" t="s">
        <v>140</v>
      </c>
    </row>
    <row r="824" spans="1:5" x14ac:dyDescent="0.3">
      <c r="A824">
        <v>301</v>
      </c>
      <c r="B824" t="s">
        <v>5</v>
      </c>
      <c r="C824" t="s">
        <v>36</v>
      </c>
      <c r="D824">
        <v>0</v>
      </c>
      <c r="E824" t="s">
        <v>402</v>
      </c>
    </row>
    <row r="825" spans="1:5" x14ac:dyDescent="0.3">
      <c r="A825">
        <v>301</v>
      </c>
      <c r="B825" t="s">
        <v>12</v>
      </c>
      <c r="C825" t="s">
        <v>37</v>
      </c>
      <c r="D825">
        <v>3</v>
      </c>
      <c r="E825" t="s">
        <v>447</v>
      </c>
    </row>
    <row r="826" spans="1:5" x14ac:dyDescent="0.3">
      <c r="A826">
        <v>301</v>
      </c>
      <c r="B826" t="s">
        <v>33</v>
      </c>
      <c r="C826" t="s">
        <v>68</v>
      </c>
      <c r="D826">
        <v>1</v>
      </c>
      <c r="E826" t="s">
        <v>217</v>
      </c>
    </row>
    <row r="827" spans="1:5" x14ac:dyDescent="0.3">
      <c r="A827">
        <v>301</v>
      </c>
      <c r="B827" t="s">
        <v>35</v>
      </c>
      <c r="C827" t="s">
        <v>68</v>
      </c>
      <c r="D827">
        <v>2</v>
      </c>
      <c r="E827" t="s">
        <v>467</v>
      </c>
    </row>
    <row r="828" spans="1:5" x14ac:dyDescent="0.3">
      <c r="A828">
        <v>301</v>
      </c>
      <c r="B828" t="s">
        <v>77</v>
      </c>
      <c r="C828" t="s">
        <v>65</v>
      </c>
      <c r="D828">
        <v>0</v>
      </c>
      <c r="E828" t="s">
        <v>94</v>
      </c>
    </row>
    <row r="829" spans="1:5" x14ac:dyDescent="0.3">
      <c r="A829">
        <v>303</v>
      </c>
      <c r="B829" t="s">
        <v>6</v>
      </c>
      <c r="C829" t="s">
        <v>36</v>
      </c>
      <c r="D829">
        <v>58</v>
      </c>
      <c r="E829" t="s">
        <v>185</v>
      </c>
    </row>
    <row r="830" spans="1:5" x14ac:dyDescent="0.3">
      <c r="A830">
        <v>303</v>
      </c>
      <c r="B830" t="s">
        <v>76</v>
      </c>
      <c r="C830" t="s">
        <v>68</v>
      </c>
      <c r="D830">
        <v>1</v>
      </c>
      <c r="E830" t="s">
        <v>468</v>
      </c>
    </row>
    <row r="831" spans="1:5" x14ac:dyDescent="0.3">
      <c r="A831">
        <v>303</v>
      </c>
      <c r="B831" t="s">
        <v>78</v>
      </c>
      <c r="C831" t="s">
        <v>37</v>
      </c>
      <c r="D831">
        <v>1</v>
      </c>
      <c r="E831" t="s">
        <v>94</v>
      </c>
    </row>
    <row r="832" spans="1:5" x14ac:dyDescent="0.3">
      <c r="A832">
        <v>303</v>
      </c>
      <c r="B832" t="s">
        <v>74</v>
      </c>
      <c r="C832" t="s">
        <v>65</v>
      </c>
      <c r="D832">
        <v>1</v>
      </c>
      <c r="E832" t="s">
        <v>464</v>
      </c>
    </row>
    <row r="833" spans="1:5" x14ac:dyDescent="0.3">
      <c r="A833">
        <v>303</v>
      </c>
      <c r="B833" t="s">
        <v>33</v>
      </c>
      <c r="C833" t="s">
        <v>68</v>
      </c>
      <c r="D833">
        <v>1</v>
      </c>
      <c r="E833" t="s">
        <v>217</v>
      </c>
    </row>
    <row r="834" spans="1:5" x14ac:dyDescent="0.3">
      <c r="A834">
        <v>303</v>
      </c>
      <c r="B834" t="s">
        <v>26</v>
      </c>
      <c r="C834" t="s">
        <v>84</v>
      </c>
      <c r="D834">
        <v>1</v>
      </c>
      <c r="E834" t="s">
        <v>339</v>
      </c>
    </row>
    <row r="835" spans="1:5" x14ac:dyDescent="0.3">
      <c r="A835">
        <v>303</v>
      </c>
      <c r="B835" t="s">
        <v>7</v>
      </c>
      <c r="C835" t="s">
        <v>36</v>
      </c>
      <c r="D835">
        <v>58</v>
      </c>
      <c r="E835" t="s">
        <v>185</v>
      </c>
    </row>
    <row r="836" spans="1:5" x14ac:dyDescent="0.3">
      <c r="A836">
        <v>304</v>
      </c>
      <c r="B836" t="s">
        <v>26</v>
      </c>
      <c r="C836" t="s">
        <v>84</v>
      </c>
      <c r="D836">
        <v>0</v>
      </c>
      <c r="E836" t="s">
        <v>376</v>
      </c>
    </row>
    <row r="837" spans="1:5" x14ac:dyDescent="0.3">
      <c r="A837">
        <v>304</v>
      </c>
      <c r="B837" t="s">
        <v>35</v>
      </c>
      <c r="C837" t="s">
        <v>68</v>
      </c>
      <c r="D837">
        <v>0</v>
      </c>
      <c r="E837" t="s">
        <v>217</v>
      </c>
    </row>
    <row r="838" spans="1:5" x14ac:dyDescent="0.3">
      <c r="A838">
        <v>304</v>
      </c>
      <c r="B838" t="s">
        <v>76</v>
      </c>
      <c r="C838" t="s">
        <v>68</v>
      </c>
      <c r="D838">
        <v>1</v>
      </c>
      <c r="E838" t="s">
        <v>99</v>
      </c>
    </row>
    <row r="839" spans="1:5" x14ac:dyDescent="0.3">
      <c r="A839">
        <v>304</v>
      </c>
      <c r="B839" t="s">
        <v>77</v>
      </c>
      <c r="C839" t="s">
        <v>65</v>
      </c>
      <c r="D839">
        <v>0</v>
      </c>
      <c r="E839" t="s">
        <v>94</v>
      </c>
    </row>
    <row r="840" spans="1:5" x14ac:dyDescent="0.3">
      <c r="A840">
        <v>304</v>
      </c>
      <c r="B840" t="s">
        <v>28</v>
      </c>
      <c r="C840" t="s">
        <v>68</v>
      </c>
      <c r="D840">
        <v>0</v>
      </c>
      <c r="E840" t="s">
        <v>470</v>
      </c>
    </row>
    <row r="841" spans="1:5" x14ac:dyDescent="0.3">
      <c r="A841">
        <v>304</v>
      </c>
      <c r="B841" t="s">
        <v>21</v>
      </c>
      <c r="C841" t="s">
        <v>65</v>
      </c>
      <c r="D841">
        <v>0</v>
      </c>
      <c r="E841" t="s">
        <v>393</v>
      </c>
    </row>
    <row r="842" spans="1:5" x14ac:dyDescent="0.3">
      <c r="A842">
        <v>304</v>
      </c>
      <c r="B842" t="s">
        <v>19</v>
      </c>
      <c r="C842" t="s">
        <v>65</v>
      </c>
      <c r="D842">
        <v>0</v>
      </c>
      <c r="E842" t="s">
        <v>376</v>
      </c>
    </row>
    <row r="843" spans="1:5" x14ac:dyDescent="0.3">
      <c r="A843">
        <v>304</v>
      </c>
      <c r="B843" t="s">
        <v>7</v>
      </c>
      <c r="C843" t="s">
        <v>36</v>
      </c>
      <c r="D843">
        <v>59</v>
      </c>
      <c r="E843" t="s">
        <v>114</v>
      </c>
    </row>
    <row r="844" spans="1:5" x14ac:dyDescent="0.3">
      <c r="A844">
        <v>304</v>
      </c>
      <c r="B844" t="s">
        <v>6</v>
      </c>
      <c r="C844" t="s">
        <v>36</v>
      </c>
      <c r="D844">
        <v>54</v>
      </c>
      <c r="E844" t="s">
        <v>458</v>
      </c>
    </row>
    <row r="845" spans="1:5" x14ac:dyDescent="0.3">
      <c r="A845">
        <v>304</v>
      </c>
      <c r="B845" t="s">
        <v>33</v>
      </c>
      <c r="C845" t="s">
        <v>68</v>
      </c>
      <c r="D845">
        <v>1</v>
      </c>
      <c r="E845" t="s">
        <v>217</v>
      </c>
    </row>
    <row r="846" spans="1:5" x14ac:dyDescent="0.3">
      <c r="A846">
        <v>304</v>
      </c>
      <c r="B846" t="s">
        <v>78</v>
      </c>
      <c r="C846" t="s">
        <v>37</v>
      </c>
      <c r="D846">
        <v>0</v>
      </c>
      <c r="E846" t="s">
        <v>94</v>
      </c>
    </row>
    <row r="847" spans="1:5" x14ac:dyDescent="0.3">
      <c r="A847">
        <v>305</v>
      </c>
      <c r="B847" t="s">
        <v>77</v>
      </c>
      <c r="C847" t="s">
        <v>65</v>
      </c>
      <c r="D847">
        <v>0</v>
      </c>
      <c r="E847" t="s">
        <v>94</v>
      </c>
    </row>
    <row r="848" spans="1:5" x14ac:dyDescent="0.3">
      <c r="A848">
        <v>305</v>
      </c>
      <c r="B848" t="s">
        <v>76</v>
      </c>
      <c r="C848" t="s">
        <v>68</v>
      </c>
      <c r="D848">
        <v>1</v>
      </c>
      <c r="E848" t="s">
        <v>94</v>
      </c>
    </row>
    <row r="849" spans="1:5" x14ac:dyDescent="0.3">
      <c r="A849">
        <v>305</v>
      </c>
      <c r="B849" t="s">
        <v>6</v>
      </c>
      <c r="C849" t="s">
        <v>36</v>
      </c>
      <c r="D849">
        <v>55</v>
      </c>
      <c r="E849" t="s">
        <v>457</v>
      </c>
    </row>
    <row r="850" spans="1:5" x14ac:dyDescent="0.3">
      <c r="A850">
        <v>305</v>
      </c>
      <c r="B850" t="s">
        <v>7</v>
      </c>
      <c r="C850" t="s">
        <v>36</v>
      </c>
      <c r="D850">
        <v>55</v>
      </c>
      <c r="E850" t="s">
        <v>456</v>
      </c>
    </row>
    <row r="851" spans="1:5" x14ac:dyDescent="0.3">
      <c r="A851">
        <v>305</v>
      </c>
      <c r="B851" t="s">
        <v>35</v>
      </c>
      <c r="C851" t="s">
        <v>68</v>
      </c>
      <c r="D851">
        <v>3</v>
      </c>
      <c r="E851" t="s">
        <v>87</v>
      </c>
    </row>
    <row r="852" spans="1:5" x14ac:dyDescent="0.3">
      <c r="A852">
        <v>305</v>
      </c>
      <c r="B852" t="s">
        <v>78</v>
      </c>
      <c r="C852" t="s">
        <v>37</v>
      </c>
      <c r="D852">
        <v>1</v>
      </c>
      <c r="E852" t="s">
        <v>434</v>
      </c>
    </row>
    <row r="853" spans="1:5" x14ac:dyDescent="0.3">
      <c r="A853">
        <v>305</v>
      </c>
      <c r="B853" t="s">
        <v>33</v>
      </c>
      <c r="C853" t="s">
        <v>68</v>
      </c>
      <c r="D853">
        <v>1</v>
      </c>
      <c r="E853" t="s">
        <v>492</v>
      </c>
    </row>
    <row r="854" spans="1:5" x14ac:dyDescent="0.3">
      <c r="A854">
        <v>306</v>
      </c>
      <c r="B854" t="s">
        <v>6</v>
      </c>
      <c r="C854" t="s">
        <v>36</v>
      </c>
      <c r="D854">
        <v>77</v>
      </c>
      <c r="E854" t="s">
        <v>114</v>
      </c>
    </row>
    <row r="855" spans="1:5" x14ac:dyDescent="0.3">
      <c r="A855">
        <v>306</v>
      </c>
      <c r="B855" t="s">
        <v>7</v>
      </c>
      <c r="C855" t="s">
        <v>36</v>
      </c>
      <c r="D855">
        <v>77</v>
      </c>
      <c r="E855" t="s">
        <v>114</v>
      </c>
    </row>
    <row r="856" spans="1:5" x14ac:dyDescent="0.3">
      <c r="A856">
        <v>306</v>
      </c>
      <c r="B856" t="s">
        <v>80</v>
      </c>
      <c r="C856" t="s">
        <v>68</v>
      </c>
      <c r="D856">
        <v>2</v>
      </c>
      <c r="E856" t="s">
        <v>493</v>
      </c>
    </row>
    <row r="857" spans="1:5" x14ac:dyDescent="0.3">
      <c r="A857">
        <v>306</v>
      </c>
      <c r="B857" t="s">
        <v>33</v>
      </c>
      <c r="C857" t="s">
        <v>68</v>
      </c>
      <c r="D857">
        <v>0</v>
      </c>
      <c r="E857" t="s">
        <v>217</v>
      </c>
    </row>
    <row r="858" spans="1:5" x14ac:dyDescent="0.3">
      <c r="A858">
        <v>306</v>
      </c>
      <c r="B858" t="s">
        <v>74</v>
      </c>
      <c r="C858" t="s">
        <v>65</v>
      </c>
      <c r="D858">
        <v>2</v>
      </c>
      <c r="E858" t="s">
        <v>217</v>
      </c>
    </row>
    <row r="859" spans="1:5" x14ac:dyDescent="0.3">
      <c r="A859">
        <v>306</v>
      </c>
      <c r="B859" t="s">
        <v>78</v>
      </c>
      <c r="C859" t="s">
        <v>37</v>
      </c>
      <c r="D859">
        <v>1</v>
      </c>
      <c r="E859" t="s">
        <v>217</v>
      </c>
    </row>
    <row r="860" spans="1:5" x14ac:dyDescent="0.3">
      <c r="A860">
        <v>306</v>
      </c>
      <c r="B860" t="s">
        <v>76</v>
      </c>
      <c r="C860" t="s">
        <v>68</v>
      </c>
      <c r="D860">
        <v>1</v>
      </c>
      <c r="E860" t="s">
        <v>124</v>
      </c>
    </row>
    <row r="861" spans="1:5" x14ac:dyDescent="0.3">
      <c r="A861">
        <v>307</v>
      </c>
      <c r="B861" t="s">
        <v>74</v>
      </c>
      <c r="C861" t="s">
        <v>65</v>
      </c>
      <c r="D861">
        <v>1</v>
      </c>
      <c r="E861" t="s">
        <v>217</v>
      </c>
    </row>
    <row r="862" spans="1:5" x14ac:dyDescent="0.3">
      <c r="A862">
        <v>307</v>
      </c>
      <c r="B862" t="s">
        <v>78</v>
      </c>
      <c r="C862" t="s">
        <v>37</v>
      </c>
      <c r="D862">
        <v>1</v>
      </c>
      <c r="E862" t="s">
        <v>217</v>
      </c>
    </row>
    <row r="863" spans="1:5" x14ac:dyDescent="0.3">
      <c r="A863">
        <v>307</v>
      </c>
      <c r="B863" t="s">
        <v>6</v>
      </c>
      <c r="C863" t="s">
        <v>36</v>
      </c>
      <c r="D863">
        <v>27</v>
      </c>
      <c r="E863" t="s">
        <v>377</v>
      </c>
    </row>
    <row r="864" spans="1:5" x14ac:dyDescent="0.3">
      <c r="A864">
        <v>307</v>
      </c>
      <c r="B864" t="s">
        <v>7</v>
      </c>
      <c r="C864" t="s">
        <v>36</v>
      </c>
      <c r="D864">
        <v>27</v>
      </c>
      <c r="E864" t="s">
        <v>377</v>
      </c>
    </row>
    <row r="865" spans="1:5" x14ac:dyDescent="0.3">
      <c r="A865">
        <v>307</v>
      </c>
      <c r="B865" t="s">
        <v>4</v>
      </c>
      <c r="C865" t="s">
        <v>36</v>
      </c>
      <c r="D865">
        <v>0</v>
      </c>
      <c r="E865" t="s">
        <v>457</v>
      </c>
    </row>
    <row r="866" spans="1:5" x14ac:dyDescent="0.3">
      <c r="A866">
        <v>307</v>
      </c>
      <c r="B866" t="s">
        <v>33</v>
      </c>
      <c r="C866" t="s">
        <v>68</v>
      </c>
      <c r="D866">
        <v>1</v>
      </c>
      <c r="E866" t="s">
        <v>489</v>
      </c>
    </row>
    <row r="867" spans="1:5" x14ac:dyDescent="0.3">
      <c r="A867">
        <v>307</v>
      </c>
      <c r="B867" t="s">
        <v>77</v>
      </c>
      <c r="C867" t="s">
        <v>65</v>
      </c>
      <c r="D867">
        <v>3</v>
      </c>
      <c r="E867" t="s">
        <v>469</v>
      </c>
    </row>
    <row r="868" spans="1:5" x14ac:dyDescent="0.3">
      <c r="A868">
        <v>307</v>
      </c>
      <c r="B868" t="s">
        <v>76</v>
      </c>
      <c r="C868" t="s">
        <v>68</v>
      </c>
      <c r="D868">
        <v>1</v>
      </c>
      <c r="E868" t="s">
        <v>217</v>
      </c>
    </row>
    <row r="869" spans="1:5" x14ac:dyDescent="0.3">
      <c r="A869">
        <v>308</v>
      </c>
      <c r="B869" t="s">
        <v>7</v>
      </c>
      <c r="C869" t="s">
        <v>36</v>
      </c>
      <c r="D869">
        <v>1</v>
      </c>
      <c r="E869" t="s">
        <v>466</v>
      </c>
    </row>
    <row r="870" spans="1:5" x14ac:dyDescent="0.3">
      <c r="A870">
        <v>308</v>
      </c>
      <c r="B870" t="s">
        <v>74</v>
      </c>
      <c r="C870" t="s">
        <v>65</v>
      </c>
      <c r="D870">
        <v>1</v>
      </c>
      <c r="E870" t="s">
        <v>485</v>
      </c>
    </row>
    <row r="871" spans="1:5" x14ac:dyDescent="0.3">
      <c r="A871">
        <v>308</v>
      </c>
      <c r="B871" t="s">
        <v>4</v>
      </c>
      <c r="C871" t="s">
        <v>36</v>
      </c>
      <c r="D871">
        <v>0</v>
      </c>
      <c r="E871" t="s">
        <v>94</v>
      </c>
    </row>
    <row r="872" spans="1:5" x14ac:dyDescent="0.3">
      <c r="A872">
        <v>308</v>
      </c>
      <c r="B872" t="s">
        <v>5</v>
      </c>
      <c r="C872" t="s">
        <v>36</v>
      </c>
      <c r="D872">
        <v>0</v>
      </c>
      <c r="E872" t="s">
        <v>94</v>
      </c>
    </row>
    <row r="873" spans="1:5" x14ac:dyDescent="0.3">
      <c r="A873">
        <v>308</v>
      </c>
      <c r="B873" t="s">
        <v>12</v>
      </c>
      <c r="C873" t="s">
        <v>37</v>
      </c>
      <c r="D873">
        <v>6</v>
      </c>
      <c r="E873" t="s">
        <v>400</v>
      </c>
    </row>
    <row r="874" spans="1:5" x14ac:dyDescent="0.3">
      <c r="A874">
        <v>308</v>
      </c>
      <c r="B874" t="s">
        <v>6</v>
      </c>
      <c r="C874" t="s">
        <v>36</v>
      </c>
      <c r="D874">
        <v>1</v>
      </c>
      <c r="E874" t="s">
        <v>465</v>
      </c>
    </row>
    <row r="875" spans="1:5" x14ac:dyDescent="0.3">
      <c r="A875">
        <v>308</v>
      </c>
      <c r="B875" t="s">
        <v>78</v>
      </c>
      <c r="C875" t="s">
        <v>37</v>
      </c>
      <c r="D875">
        <v>1</v>
      </c>
      <c r="E875" t="s">
        <v>378</v>
      </c>
    </row>
    <row r="876" spans="1:5" x14ac:dyDescent="0.3">
      <c r="A876">
        <v>308</v>
      </c>
      <c r="B876" t="s">
        <v>76</v>
      </c>
      <c r="C876" t="s">
        <v>68</v>
      </c>
      <c r="D876">
        <v>1</v>
      </c>
      <c r="E876" t="s">
        <v>457</v>
      </c>
    </row>
    <row r="877" spans="1:5" x14ac:dyDescent="0.3">
      <c r="A877">
        <v>308</v>
      </c>
      <c r="B877" t="s">
        <v>33</v>
      </c>
      <c r="C877" t="s">
        <v>68</v>
      </c>
      <c r="D877">
        <v>1</v>
      </c>
      <c r="E877" t="s">
        <v>362</v>
      </c>
    </row>
    <row r="878" spans="1:5" x14ac:dyDescent="0.3">
      <c r="A878">
        <v>308</v>
      </c>
      <c r="B878" t="s">
        <v>35</v>
      </c>
      <c r="C878" t="s">
        <v>68</v>
      </c>
      <c r="D878">
        <v>2</v>
      </c>
      <c r="E878" t="s">
        <v>217</v>
      </c>
    </row>
    <row r="879" spans="1:5" x14ac:dyDescent="0.3">
      <c r="A879">
        <v>309</v>
      </c>
      <c r="B879" t="s">
        <v>32</v>
      </c>
      <c r="C879" t="s">
        <v>68</v>
      </c>
      <c r="D879">
        <v>719</v>
      </c>
      <c r="E879" t="s">
        <v>360</v>
      </c>
    </row>
    <row r="880" spans="1:5" x14ac:dyDescent="0.3">
      <c r="A880">
        <v>309</v>
      </c>
      <c r="B880" t="s">
        <v>76</v>
      </c>
      <c r="C880" t="s">
        <v>68</v>
      </c>
      <c r="D880">
        <v>1</v>
      </c>
      <c r="E880" t="s">
        <v>269</v>
      </c>
    </row>
    <row r="881" spans="1:5" x14ac:dyDescent="0.3">
      <c r="A881">
        <v>309</v>
      </c>
      <c r="B881" t="s">
        <v>78</v>
      </c>
      <c r="C881" t="s">
        <v>37</v>
      </c>
      <c r="D881">
        <v>1</v>
      </c>
      <c r="E881" t="s">
        <v>471</v>
      </c>
    </row>
    <row r="882" spans="1:5" x14ac:dyDescent="0.3">
      <c r="A882">
        <v>309</v>
      </c>
      <c r="B882" t="s">
        <v>77</v>
      </c>
      <c r="C882" t="s">
        <v>65</v>
      </c>
      <c r="D882">
        <v>1</v>
      </c>
      <c r="E882" t="s">
        <v>477</v>
      </c>
    </row>
    <row r="883" spans="1:5" x14ac:dyDescent="0.3">
      <c r="A883">
        <v>309</v>
      </c>
      <c r="B883" t="s">
        <v>38</v>
      </c>
      <c r="C883" t="s">
        <v>68</v>
      </c>
      <c r="D883">
        <v>0</v>
      </c>
      <c r="E883" t="s">
        <v>481</v>
      </c>
    </row>
    <row r="884" spans="1:5" x14ac:dyDescent="0.3">
      <c r="A884">
        <v>309</v>
      </c>
      <c r="B884" t="s">
        <v>19</v>
      </c>
      <c r="C884" t="s">
        <v>65</v>
      </c>
      <c r="D884">
        <v>719</v>
      </c>
      <c r="E884" t="s">
        <v>478</v>
      </c>
    </row>
    <row r="885" spans="1:5" x14ac:dyDescent="0.3">
      <c r="A885">
        <v>309</v>
      </c>
      <c r="B885" t="s">
        <v>4</v>
      </c>
      <c r="C885" t="s">
        <v>36</v>
      </c>
      <c r="D885">
        <v>1</v>
      </c>
      <c r="E885" t="s">
        <v>339</v>
      </c>
    </row>
    <row r="886" spans="1:5" x14ac:dyDescent="0.3">
      <c r="A886">
        <v>309</v>
      </c>
      <c r="B886" t="s">
        <v>7</v>
      </c>
      <c r="C886" t="s">
        <v>36</v>
      </c>
      <c r="D886">
        <v>29</v>
      </c>
      <c r="E886" t="s">
        <v>457</v>
      </c>
    </row>
    <row r="887" spans="1:5" x14ac:dyDescent="0.3">
      <c r="A887">
        <v>309</v>
      </c>
      <c r="B887" t="s">
        <v>6</v>
      </c>
      <c r="C887" t="s">
        <v>36</v>
      </c>
      <c r="D887">
        <v>26</v>
      </c>
      <c r="E887" t="s">
        <v>217</v>
      </c>
    </row>
    <row r="888" spans="1:5" x14ac:dyDescent="0.3">
      <c r="A888">
        <v>309</v>
      </c>
      <c r="B888" t="s">
        <v>74</v>
      </c>
      <c r="C888" t="s">
        <v>65</v>
      </c>
      <c r="D888">
        <v>2</v>
      </c>
      <c r="E888" t="s">
        <v>476</v>
      </c>
    </row>
    <row r="889" spans="1:5" x14ac:dyDescent="0.3">
      <c r="A889">
        <v>310</v>
      </c>
      <c r="B889" t="s">
        <v>77</v>
      </c>
      <c r="C889" t="s">
        <v>65</v>
      </c>
      <c r="D889">
        <v>0</v>
      </c>
      <c r="E889" t="s">
        <v>94</v>
      </c>
    </row>
    <row r="890" spans="1:5" x14ac:dyDescent="0.3">
      <c r="A890">
        <v>310</v>
      </c>
      <c r="B890" t="s">
        <v>28</v>
      </c>
      <c r="C890" t="s">
        <v>68</v>
      </c>
      <c r="D890">
        <v>0</v>
      </c>
      <c r="E890" t="s">
        <v>94</v>
      </c>
    </row>
    <row r="891" spans="1:5" x14ac:dyDescent="0.3">
      <c r="A891">
        <v>310</v>
      </c>
      <c r="B891" t="s">
        <v>76</v>
      </c>
      <c r="C891" t="s">
        <v>68</v>
      </c>
      <c r="D891">
        <v>1</v>
      </c>
      <c r="E891" t="s">
        <v>94</v>
      </c>
    </row>
    <row r="892" spans="1:5" x14ac:dyDescent="0.3">
      <c r="A892">
        <v>310</v>
      </c>
      <c r="B892" t="s">
        <v>78</v>
      </c>
      <c r="C892" t="s">
        <v>37</v>
      </c>
      <c r="D892">
        <v>1</v>
      </c>
      <c r="E892" t="s">
        <v>94</v>
      </c>
    </row>
    <row r="893" spans="1:5" x14ac:dyDescent="0.3">
      <c r="A893">
        <v>310</v>
      </c>
      <c r="B893" t="s">
        <v>7</v>
      </c>
      <c r="C893" t="s">
        <v>36</v>
      </c>
      <c r="D893">
        <v>51</v>
      </c>
      <c r="E893" t="s">
        <v>217</v>
      </c>
    </row>
    <row r="894" spans="1:5" x14ac:dyDescent="0.3">
      <c r="A894">
        <v>310</v>
      </c>
      <c r="B894" t="s">
        <v>80</v>
      </c>
      <c r="C894" t="s">
        <v>68</v>
      </c>
      <c r="D894">
        <v>0</v>
      </c>
      <c r="E894" t="s">
        <v>482</v>
      </c>
    </row>
    <row r="895" spans="1:5" x14ac:dyDescent="0.3">
      <c r="A895">
        <v>310</v>
      </c>
      <c r="B895" t="s">
        <v>33</v>
      </c>
      <c r="C895" t="s">
        <v>68</v>
      </c>
      <c r="D895">
        <v>1</v>
      </c>
      <c r="E895" t="s">
        <v>217</v>
      </c>
    </row>
    <row r="896" spans="1:5" x14ac:dyDescent="0.3">
      <c r="A896">
        <v>310</v>
      </c>
      <c r="B896" t="s">
        <v>74</v>
      </c>
      <c r="C896" t="s">
        <v>65</v>
      </c>
      <c r="D896">
        <v>0</v>
      </c>
      <c r="E896" t="s">
        <v>137</v>
      </c>
    </row>
    <row r="897" spans="1:5" x14ac:dyDescent="0.3">
      <c r="A897">
        <v>311</v>
      </c>
      <c r="B897" t="s">
        <v>6</v>
      </c>
      <c r="C897" t="s">
        <v>36</v>
      </c>
      <c r="D897">
        <v>149</v>
      </c>
      <c r="E897" t="s">
        <v>488</v>
      </c>
    </row>
    <row r="898" spans="1:5" x14ac:dyDescent="0.3">
      <c r="A898">
        <v>311</v>
      </c>
      <c r="B898" t="s">
        <v>7</v>
      </c>
      <c r="C898" t="s">
        <v>36</v>
      </c>
      <c r="D898">
        <v>149</v>
      </c>
      <c r="E898" t="s">
        <v>488</v>
      </c>
    </row>
    <row r="899" spans="1:5" x14ac:dyDescent="0.3">
      <c r="A899">
        <v>311</v>
      </c>
      <c r="B899" t="s">
        <v>33</v>
      </c>
      <c r="C899" t="s">
        <v>68</v>
      </c>
      <c r="D899">
        <v>1</v>
      </c>
      <c r="E899" t="s">
        <v>484</v>
      </c>
    </row>
    <row r="900" spans="1:5" x14ac:dyDescent="0.3">
      <c r="A900">
        <v>311</v>
      </c>
      <c r="B900" t="s">
        <v>74</v>
      </c>
      <c r="C900" t="s">
        <v>65</v>
      </c>
      <c r="D900">
        <v>0</v>
      </c>
      <c r="E900" t="s">
        <v>480</v>
      </c>
    </row>
    <row r="901" spans="1:5" x14ac:dyDescent="0.3">
      <c r="A901">
        <v>311</v>
      </c>
      <c r="B901" t="s">
        <v>78</v>
      </c>
      <c r="C901" t="s">
        <v>37</v>
      </c>
      <c r="D901">
        <v>1</v>
      </c>
      <c r="E901" t="s">
        <v>472</v>
      </c>
    </row>
    <row r="902" spans="1:5" x14ac:dyDescent="0.3">
      <c r="A902">
        <v>311</v>
      </c>
      <c r="B902" t="s">
        <v>76</v>
      </c>
      <c r="C902" t="s">
        <v>68</v>
      </c>
      <c r="D902">
        <v>1</v>
      </c>
      <c r="E902" t="s">
        <v>269</v>
      </c>
    </row>
    <row r="903" spans="1:5" x14ac:dyDescent="0.3">
      <c r="A903">
        <v>312</v>
      </c>
      <c r="B903" t="s">
        <v>12</v>
      </c>
      <c r="C903" t="s">
        <v>37</v>
      </c>
      <c r="D903">
        <v>1</v>
      </c>
      <c r="E903" t="s">
        <v>474</v>
      </c>
    </row>
    <row r="904" spans="1:5" x14ac:dyDescent="0.3">
      <c r="A904">
        <v>312</v>
      </c>
      <c r="B904" t="s">
        <v>76</v>
      </c>
      <c r="C904" t="s">
        <v>68</v>
      </c>
      <c r="D904">
        <v>1</v>
      </c>
      <c r="E904" t="s">
        <v>94</v>
      </c>
    </row>
    <row r="905" spans="1:5" x14ac:dyDescent="0.3">
      <c r="A905">
        <v>312</v>
      </c>
      <c r="B905" t="s">
        <v>74</v>
      </c>
      <c r="C905" t="s">
        <v>65</v>
      </c>
      <c r="D905">
        <v>1</v>
      </c>
      <c r="E905" t="s">
        <v>94</v>
      </c>
    </row>
    <row r="906" spans="1:5" x14ac:dyDescent="0.3">
      <c r="A906">
        <v>312</v>
      </c>
      <c r="B906" t="s">
        <v>34</v>
      </c>
      <c r="C906" t="s">
        <v>68</v>
      </c>
      <c r="D906">
        <v>0</v>
      </c>
      <c r="E906" t="s">
        <v>403</v>
      </c>
    </row>
    <row r="907" spans="1:5" x14ac:dyDescent="0.3">
      <c r="A907">
        <v>312</v>
      </c>
      <c r="B907" t="s">
        <v>33</v>
      </c>
      <c r="C907" t="s">
        <v>68</v>
      </c>
      <c r="D907">
        <v>3</v>
      </c>
      <c r="E907" t="s">
        <v>217</v>
      </c>
    </row>
    <row r="908" spans="1:5" x14ac:dyDescent="0.3">
      <c r="A908">
        <v>312</v>
      </c>
      <c r="B908" t="s">
        <v>28</v>
      </c>
      <c r="C908" t="s">
        <v>68</v>
      </c>
      <c r="D908">
        <v>0</v>
      </c>
      <c r="E908" t="s">
        <v>94</v>
      </c>
    </row>
    <row r="909" spans="1:5" x14ac:dyDescent="0.3">
      <c r="A909">
        <v>312</v>
      </c>
      <c r="B909" t="s">
        <v>17</v>
      </c>
      <c r="C909" t="s">
        <v>37</v>
      </c>
      <c r="D909">
        <v>0</v>
      </c>
      <c r="E909" t="s">
        <v>217</v>
      </c>
    </row>
    <row r="910" spans="1:5" x14ac:dyDescent="0.3">
      <c r="A910">
        <v>312</v>
      </c>
      <c r="B910" t="s">
        <v>7</v>
      </c>
      <c r="C910" t="s">
        <v>36</v>
      </c>
      <c r="D910">
        <v>13</v>
      </c>
      <c r="E910" t="s">
        <v>447</v>
      </c>
    </row>
    <row r="911" spans="1:5" x14ac:dyDescent="0.3">
      <c r="A911">
        <v>312</v>
      </c>
      <c r="B911" t="s">
        <v>6</v>
      </c>
      <c r="C911" t="s">
        <v>36</v>
      </c>
      <c r="D911">
        <v>13</v>
      </c>
      <c r="E911" t="s">
        <v>473</v>
      </c>
    </row>
    <row r="912" spans="1:5" x14ac:dyDescent="0.3">
      <c r="A912">
        <v>312</v>
      </c>
      <c r="B912" t="s">
        <v>19</v>
      </c>
      <c r="C912" t="s">
        <v>65</v>
      </c>
      <c r="D912">
        <v>0</v>
      </c>
      <c r="E912" t="s">
        <v>217</v>
      </c>
    </row>
    <row r="913" spans="1:5" x14ac:dyDescent="0.3">
      <c r="A913">
        <v>313</v>
      </c>
      <c r="B913" t="s">
        <v>6</v>
      </c>
      <c r="C913" t="s">
        <v>36</v>
      </c>
      <c r="D913">
        <v>44</v>
      </c>
      <c r="E913" t="s">
        <v>114</v>
      </c>
    </row>
    <row r="914" spans="1:5" x14ac:dyDescent="0.3">
      <c r="A914">
        <v>313</v>
      </c>
      <c r="B914" t="s">
        <v>78</v>
      </c>
      <c r="C914" t="s">
        <v>37</v>
      </c>
      <c r="D914">
        <v>1</v>
      </c>
      <c r="E914" t="s">
        <v>217</v>
      </c>
    </row>
    <row r="915" spans="1:5" x14ac:dyDescent="0.3">
      <c r="A915">
        <v>313</v>
      </c>
      <c r="B915" t="s">
        <v>77</v>
      </c>
      <c r="C915" t="s">
        <v>65</v>
      </c>
      <c r="D915">
        <v>0</v>
      </c>
      <c r="E915" t="s">
        <v>94</v>
      </c>
    </row>
    <row r="916" spans="1:5" x14ac:dyDescent="0.3">
      <c r="A916">
        <v>313</v>
      </c>
      <c r="B916" t="s">
        <v>33</v>
      </c>
      <c r="C916" t="s">
        <v>68</v>
      </c>
      <c r="D916">
        <v>1</v>
      </c>
      <c r="E916" t="s">
        <v>269</v>
      </c>
    </row>
    <row r="917" spans="1:5" x14ac:dyDescent="0.3">
      <c r="A917">
        <v>313</v>
      </c>
      <c r="B917" t="s">
        <v>5</v>
      </c>
      <c r="C917" t="s">
        <v>36</v>
      </c>
      <c r="D917">
        <v>0</v>
      </c>
      <c r="E917" t="s">
        <v>383</v>
      </c>
    </row>
    <row r="918" spans="1:5" x14ac:dyDescent="0.3">
      <c r="A918">
        <v>313</v>
      </c>
      <c r="B918" t="s">
        <v>76</v>
      </c>
      <c r="C918" t="s">
        <v>68</v>
      </c>
      <c r="D918">
        <v>1</v>
      </c>
      <c r="E918" t="s">
        <v>362</v>
      </c>
    </row>
    <row r="919" spans="1:5" x14ac:dyDescent="0.3">
      <c r="A919">
        <v>314</v>
      </c>
      <c r="B919" t="s">
        <v>77</v>
      </c>
      <c r="C919" t="s">
        <v>65</v>
      </c>
      <c r="D919">
        <v>0</v>
      </c>
      <c r="E919" t="s">
        <v>269</v>
      </c>
    </row>
    <row r="920" spans="1:5" x14ac:dyDescent="0.3">
      <c r="A920">
        <v>314</v>
      </c>
      <c r="B920" t="s">
        <v>74</v>
      </c>
      <c r="C920" t="s">
        <v>65</v>
      </c>
      <c r="D920">
        <v>1</v>
      </c>
      <c r="E920" t="s">
        <v>217</v>
      </c>
    </row>
    <row r="921" spans="1:5" x14ac:dyDescent="0.3">
      <c r="A921">
        <v>314</v>
      </c>
      <c r="B921" t="s">
        <v>33</v>
      </c>
      <c r="C921" t="s">
        <v>68</v>
      </c>
      <c r="D921">
        <v>0</v>
      </c>
      <c r="E921" t="s">
        <v>393</v>
      </c>
    </row>
    <row r="922" spans="1:5" x14ac:dyDescent="0.3">
      <c r="A922">
        <v>314</v>
      </c>
      <c r="B922" t="s">
        <v>7</v>
      </c>
      <c r="C922" t="s">
        <v>36</v>
      </c>
      <c r="D922">
        <v>153</v>
      </c>
      <c r="E922" t="s">
        <v>114</v>
      </c>
    </row>
    <row r="923" spans="1:5" x14ac:dyDescent="0.3">
      <c r="A923">
        <v>314</v>
      </c>
      <c r="B923" t="s">
        <v>6</v>
      </c>
      <c r="C923" t="s">
        <v>36</v>
      </c>
      <c r="D923">
        <v>177</v>
      </c>
      <c r="E923" t="s">
        <v>114</v>
      </c>
    </row>
    <row r="924" spans="1:5" x14ac:dyDescent="0.3">
      <c r="A924">
        <v>314</v>
      </c>
      <c r="B924" t="s">
        <v>76</v>
      </c>
      <c r="C924" t="s">
        <v>68</v>
      </c>
      <c r="D924">
        <v>1</v>
      </c>
      <c r="E924" t="s">
        <v>400</v>
      </c>
    </row>
    <row r="925" spans="1:5" x14ac:dyDescent="0.3">
      <c r="A925">
        <v>314</v>
      </c>
      <c r="B925" t="s">
        <v>78</v>
      </c>
      <c r="C925" t="s">
        <v>37</v>
      </c>
      <c r="D925">
        <v>1</v>
      </c>
      <c r="E925" t="s">
        <v>479</v>
      </c>
    </row>
    <row r="926" spans="1:5" x14ac:dyDescent="0.3">
      <c r="A926">
        <v>315</v>
      </c>
      <c r="B926" t="s">
        <v>74</v>
      </c>
      <c r="C926" t="s">
        <v>65</v>
      </c>
      <c r="D926">
        <v>2</v>
      </c>
      <c r="E926" t="s">
        <v>340</v>
      </c>
    </row>
    <row r="927" spans="1:5" x14ac:dyDescent="0.3">
      <c r="A927">
        <v>315</v>
      </c>
      <c r="B927" t="s">
        <v>76</v>
      </c>
      <c r="C927" t="s">
        <v>68</v>
      </c>
      <c r="D927">
        <v>1</v>
      </c>
      <c r="E927" t="s">
        <v>124</v>
      </c>
    </row>
    <row r="928" spans="1:5" x14ac:dyDescent="0.3">
      <c r="A928">
        <v>315</v>
      </c>
      <c r="B928" t="s">
        <v>77</v>
      </c>
      <c r="C928" t="s">
        <v>65</v>
      </c>
      <c r="D928">
        <v>0</v>
      </c>
      <c r="E928" t="s">
        <v>486</v>
      </c>
    </row>
    <row r="929" spans="1:5" x14ac:dyDescent="0.3">
      <c r="A929">
        <v>315</v>
      </c>
      <c r="B929" t="s">
        <v>33</v>
      </c>
      <c r="C929" t="s">
        <v>68</v>
      </c>
      <c r="D929">
        <v>1</v>
      </c>
      <c r="E929" t="s">
        <v>124</v>
      </c>
    </row>
    <row r="930" spans="1:5" x14ac:dyDescent="0.3">
      <c r="A930">
        <v>315</v>
      </c>
      <c r="B930" t="s">
        <v>28</v>
      </c>
      <c r="C930" t="s">
        <v>68</v>
      </c>
      <c r="D930">
        <v>0</v>
      </c>
      <c r="E930" t="s">
        <v>124</v>
      </c>
    </row>
    <row r="931" spans="1:5" x14ac:dyDescent="0.3">
      <c r="A931">
        <v>315</v>
      </c>
      <c r="B931" t="s">
        <v>7</v>
      </c>
      <c r="C931" t="s">
        <v>36</v>
      </c>
      <c r="D931">
        <v>104</v>
      </c>
      <c r="E931" t="s">
        <v>114</v>
      </c>
    </row>
    <row r="932" spans="1:5" x14ac:dyDescent="0.3">
      <c r="A932">
        <v>315</v>
      </c>
      <c r="B932" t="s">
        <v>6</v>
      </c>
      <c r="C932" t="s">
        <v>36</v>
      </c>
      <c r="D932">
        <v>104</v>
      </c>
      <c r="E932" t="s">
        <v>69</v>
      </c>
    </row>
    <row r="933" spans="1:5" x14ac:dyDescent="0.3">
      <c r="A933">
        <v>315</v>
      </c>
      <c r="B933" t="s">
        <v>78</v>
      </c>
      <c r="C933" t="s">
        <v>37</v>
      </c>
      <c r="D933">
        <v>1</v>
      </c>
      <c r="E933" t="s">
        <v>362</v>
      </c>
    </row>
    <row r="934" spans="1:5" x14ac:dyDescent="0.3">
      <c r="A934">
        <v>315</v>
      </c>
      <c r="B934" t="s">
        <v>29</v>
      </c>
      <c r="C934" t="s">
        <v>68</v>
      </c>
      <c r="D934">
        <v>0</v>
      </c>
      <c r="E934" t="s">
        <v>124</v>
      </c>
    </row>
    <row r="935" spans="1:5" x14ac:dyDescent="0.3">
      <c r="A935">
        <v>316</v>
      </c>
      <c r="B935" t="s">
        <v>4</v>
      </c>
      <c r="C935" t="s">
        <v>36</v>
      </c>
      <c r="D935">
        <v>1</v>
      </c>
      <c r="E935" t="s">
        <v>475</v>
      </c>
    </row>
    <row r="936" spans="1:5" x14ac:dyDescent="0.3">
      <c r="A936">
        <v>316</v>
      </c>
      <c r="B936" t="s">
        <v>76</v>
      </c>
      <c r="C936" t="s">
        <v>68</v>
      </c>
      <c r="D936">
        <v>0</v>
      </c>
      <c r="E936" t="s">
        <v>94</v>
      </c>
    </row>
    <row r="937" spans="1:5" x14ac:dyDescent="0.3">
      <c r="A937">
        <v>316</v>
      </c>
      <c r="B937" t="s">
        <v>78</v>
      </c>
      <c r="C937" t="s">
        <v>37</v>
      </c>
      <c r="D937">
        <v>1</v>
      </c>
      <c r="E937" t="s">
        <v>501</v>
      </c>
    </row>
    <row r="938" spans="1:5" x14ac:dyDescent="0.3">
      <c r="A938">
        <v>316</v>
      </c>
      <c r="B938" t="s">
        <v>33</v>
      </c>
      <c r="C938" t="s">
        <v>68</v>
      </c>
      <c r="D938">
        <v>1</v>
      </c>
      <c r="E938" t="s">
        <v>504</v>
      </c>
    </row>
    <row r="939" spans="1:5" x14ac:dyDescent="0.3">
      <c r="A939">
        <v>316</v>
      </c>
      <c r="B939" t="s">
        <v>7</v>
      </c>
      <c r="C939" t="s">
        <v>36</v>
      </c>
      <c r="D939">
        <v>89</v>
      </c>
      <c r="E939" t="s">
        <v>375</v>
      </c>
    </row>
    <row r="940" spans="1:5" x14ac:dyDescent="0.3">
      <c r="A940">
        <v>316</v>
      </c>
      <c r="B940" t="s">
        <v>6</v>
      </c>
      <c r="C940" t="s">
        <v>36</v>
      </c>
      <c r="D940">
        <v>70</v>
      </c>
      <c r="E940" t="s">
        <v>447</v>
      </c>
    </row>
    <row r="941" spans="1:5" x14ac:dyDescent="0.3">
      <c r="A941">
        <v>316</v>
      </c>
      <c r="B941" t="s">
        <v>74</v>
      </c>
      <c r="C941" t="s">
        <v>65</v>
      </c>
      <c r="D941">
        <v>1</v>
      </c>
      <c r="E941" t="s">
        <v>527</v>
      </c>
    </row>
    <row r="942" spans="1:5" x14ac:dyDescent="0.3">
      <c r="A942">
        <v>317</v>
      </c>
      <c r="B942" t="s">
        <v>78</v>
      </c>
      <c r="C942" t="s">
        <v>37</v>
      </c>
      <c r="D942">
        <v>1</v>
      </c>
      <c r="E942" t="s">
        <v>94</v>
      </c>
    </row>
    <row r="943" spans="1:5" x14ac:dyDescent="0.3">
      <c r="A943">
        <v>317</v>
      </c>
      <c r="B943" t="s">
        <v>76</v>
      </c>
      <c r="C943" t="s">
        <v>68</v>
      </c>
      <c r="D943">
        <v>1</v>
      </c>
      <c r="E943" t="s">
        <v>217</v>
      </c>
    </row>
    <row r="944" spans="1:5" x14ac:dyDescent="0.3">
      <c r="A944">
        <v>317</v>
      </c>
      <c r="B944" t="s">
        <v>33</v>
      </c>
      <c r="C944" t="s">
        <v>68</v>
      </c>
      <c r="D944">
        <v>1</v>
      </c>
      <c r="E944" t="s">
        <v>503</v>
      </c>
    </row>
    <row r="945" spans="1:5" x14ac:dyDescent="0.3">
      <c r="A945">
        <v>317</v>
      </c>
      <c r="B945" t="s">
        <v>74</v>
      </c>
      <c r="C945" t="s">
        <v>65</v>
      </c>
      <c r="D945">
        <v>2</v>
      </c>
      <c r="E945" t="s">
        <v>403</v>
      </c>
    </row>
    <row r="946" spans="1:5" x14ac:dyDescent="0.3">
      <c r="A946">
        <v>317</v>
      </c>
      <c r="B946" t="s">
        <v>4</v>
      </c>
      <c r="C946" t="s">
        <v>36</v>
      </c>
      <c r="D946">
        <v>0</v>
      </c>
      <c r="E946" t="s">
        <v>208</v>
      </c>
    </row>
    <row r="947" spans="1:5" x14ac:dyDescent="0.3">
      <c r="A947">
        <v>317</v>
      </c>
      <c r="B947" t="s">
        <v>7</v>
      </c>
      <c r="C947" t="s">
        <v>36</v>
      </c>
      <c r="D947">
        <v>186</v>
      </c>
      <c r="E947" t="s">
        <v>462</v>
      </c>
    </row>
    <row r="948" spans="1:5" x14ac:dyDescent="0.3">
      <c r="A948">
        <v>317</v>
      </c>
      <c r="B948" t="s">
        <v>6</v>
      </c>
      <c r="C948" t="s">
        <v>36</v>
      </c>
      <c r="D948">
        <v>186</v>
      </c>
      <c r="E948" t="s">
        <v>447</v>
      </c>
    </row>
    <row r="949" spans="1:5" x14ac:dyDescent="0.3">
      <c r="A949">
        <v>317</v>
      </c>
      <c r="B949" t="s">
        <v>28</v>
      </c>
      <c r="C949" t="s">
        <v>68</v>
      </c>
      <c r="D949">
        <v>2</v>
      </c>
      <c r="E949" t="s">
        <v>217</v>
      </c>
    </row>
    <row r="950" spans="1:5" x14ac:dyDescent="0.3">
      <c r="A950">
        <v>318</v>
      </c>
      <c r="B950" t="s">
        <v>25</v>
      </c>
      <c r="C950" t="s">
        <v>84</v>
      </c>
      <c r="D950">
        <v>1</v>
      </c>
      <c r="E950" t="s">
        <v>494</v>
      </c>
    </row>
    <row r="951" spans="1:5" x14ac:dyDescent="0.3">
      <c r="A951">
        <v>318</v>
      </c>
      <c r="B951" t="s">
        <v>76</v>
      </c>
      <c r="C951" t="s">
        <v>68</v>
      </c>
      <c r="D951">
        <v>1</v>
      </c>
      <c r="E951" t="s">
        <v>269</v>
      </c>
    </row>
    <row r="952" spans="1:5" x14ac:dyDescent="0.3">
      <c r="A952">
        <v>318</v>
      </c>
      <c r="B952" t="s">
        <v>78</v>
      </c>
      <c r="C952" t="s">
        <v>37</v>
      </c>
      <c r="D952">
        <v>0</v>
      </c>
      <c r="E952" t="s">
        <v>393</v>
      </c>
    </row>
    <row r="953" spans="1:5" x14ac:dyDescent="0.3">
      <c r="A953">
        <v>318</v>
      </c>
      <c r="B953" t="s">
        <v>33</v>
      </c>
      <c r="C953" t="s">
        <v>68</v>
      </c>
      <c r="D953">
        <v>0</v>
      </c>
      <c r="E953" t="s">
        <v>94</v>
      </c>
    </row>
    <row r="954" spans="1:5" x14ac:dyDescent="0.3">
      <c r="A954">
        <v>318</v>
      </c>
      <c r="B954" t="s">
        <v>12</v>
      </c>
      <c r="C954" t="s">
        <v>37</v>
      </c>
      <c r="D954">
        <v>2</v>
      </c>
      <c r="E954" t="s">
        <v>402</v>
      </c>
    </row>
    <row r="955" spans="1:5" x14ac:dyDescent="0.3">
      <c r="A955">
        <v>318</v>
      </c>
      <c r="B955" t="s">
        <v>4</v>
      </c>
      <c r="C955" t="s">
        <v>36</v>
      </c>
      <c r="D955">
        <v>1</v>
      </c>
      <c r="E955" t="s">
        <v>447</v>
      </c>
    </row>
    <row r="956" spans="1:5" x14ac:dyDescent="0.3">
      <c r="A956">
        <v>318</v>
      </c>
      <c r="B956" t="s">
        <v>7</v>
      </c>
      <c r="C956" t="s">
        <v>36</v>
      </c>
      <c r="D956">
        <v>75</v>
      </c>
      <c r="E956" t="s">
        <v>375</v>
      </c>
    </row>
    <row r="957" spans="1:5" x14ac:dyDescent="0.3">
      <c r="A957">
        <v>318</v>
      </c>
      <c r="B957" t="s">
        <v>6</v>
      </c>
      <c r="C957" t="s">
        <v>36</v>
      </c>
      <c r="D957">
        <v>70</v>
      </c>
      <c r="E957" t="s">
        <v>375</v>
      </c>
    </row>
    <row r="958" spans="1:5" x14ac:dyDescent="0.3">
      <c r="A958">
        <v>318</v>
      </c>
      <c r="B958" t="s">
        <v>74</v>
      </c>
      <c r="C958" t="s">
        <v>65</v>
      </c>
      <c r="D958">
        <v>1</v>
      </c>
      <c r="E958" t="s">
        <v>269</v>
      </c>
    </row>
    <row r="959" spans="1:5" x14ac:dyDescent="0.3">
      <c r="A959">
        <v>319</v>
      </c>
      <c r="B959" t="s">
        <v>32</v>
      </c>
      <c r="C959" t="s">
        <v>68</v>
      </c>
      <c r="D959">
        <v>240</v>
      </c>
      <c r="E959" t="s">
        <v>94</v>
      </c>
    </row>
    <row r="960" spans="1:5" x14ac:dyDescent="0.3">
      <c r="A960">
        <v>319</v>
      </c>
      <c r="B960" t="s">
        <v>33</v>
      </c>
      <c r="C960" t="s">
        <v>68</v>
      </c>
      <c r="D960">
        <v>1</v>
      </c>
      <c r="E960" t="s">
        <v>362</v>
      </c>
    </row>
    <row r="961" spans="1:5" x14ac:dyDescent="0.3">
      <c r="A961">
        <v>319</v>
      </c>
      <c r="B961" t="s">
        <v>76</v>
      </c>
      <c r="C961" t="s">
        <v>68</v>
      </c>
      <c r="D961">
        <v>1</v>
      </c>
      <c r="E961" t="s">
        <v>362</v>
      </c>
    </row>
    <row r="962" spans="1:5" x14ac:dyDescent="0.3">
      <c r="A962">
        <v>319</v>
      </c>
      <c r="B962" t="s">
        <v>78</v>
      </c>
      <c r="C962" t="s">
        <v>37</v>
      </c>
      <c r="D962">
        <v>1</v>
      </c>
      <c r="E962" t="s">
        <v>94</v>
      </c>
    </row>
    <row r="963" spans="1:5" x14ac:dyDescent="0.3">
      <c r="A963">
        <v>319</v>
      </c>
      <c r="B963" t="s">
        <v>77</v>
      </c>
      <c r="C963" t="s">
        <v>65</v>
      </c>
      <c r="D963">
        <v>0</v>
      </c>
      <c r="E963" t="s">
        <v>402</v>
      </c>
    </row>
    <row r="964" spans="1:5" x14ac:dyDescent="0.3">
      <c r="A964">
        <v>319</v>
      </c>
      <c r="B964" t="s">
        <v>74</v>
      </c>
      <c r="C964" t="s">
        <v>65</v>
      </c>
      <c r="D964">
        <v>2</v>
      </c>
      <c r="E964" t="s">
        <v>94</v>
      </c>
    </row>
    <row r="965" spans="1:5" x14ac:dyDescent="0.3">
      <c r="A965">
        <v>319</v>
      </c>
      <c r="B965" t="s">
        <v>29</v>
      </c>
      <c r="C965" t="s">
        <v>68</v>
      </c>
      <c r="D965">
        <v>0</v>
      </c>
      <c r="E965" t="s">
        <v>485</v>
      </c>
    </row>
    <row r="966" spans="1:5" x14ac:dyDescent="0.3">
      <c r="A966">
        <v>319</v>
      </c>
      <c r="B966" t="s">
        <v>5</v>
      </c>
      <c r="C966" t="s">
        <v>36</v>
      </c>
      <c r="D966">
        <v>0</v>
      </c>
      <c r="E966" t="s">
        <v>208</v>
      </c>
    </row>
    <row r="967" spans="1:5" x14ac:dyDescent="0.3">
      <c r="A967">
        <v>319</v>
      </c>
      <c r="B967" t="s">
        <v>4</v>
      </c>
      <c r="C967" t="s">
        <v>36</v>
      </c>
      <c r="D967">
        <v>0</v>
      </c>
      <c r="E967" t="s">
        <v>483</v>
      </c>
    </row>
    <row r="968" spans="1:5" x14ac:dyDescent="0.3">
      <c r="A968">
        <v>319</v>
      </c>
      <c r="B968" t="s">
        <v>7</v>
      </c>
      <c r="C968" t="s">
        <v>36</v>
      </c>
      <c r="D968">
        <v>246</v>
      </c>
      <c r="E968" t="s">
        <v>508</v>
      </c>
    </row>
    <row r="969" spans="1:5" x14ac:dyDescent="0.3">
      <c r="A969">
        <v>319</v>
      </c>
      <c r="B969" t="s">
        <v>6</v>
      </c>
      <c r="C969" t="s">
        <v>36</v>
      </c>
      <c r="D969">
        <v>246</v>
      </c>
      <c r="E969" t="s">
        <v>507</v>
      </c>
    </row>
    <row r="970" spans="1:5" x14ac:dyDescent="0.3">
      <c r="A970">
        <v>319</v>
      </c>
      <c r="B970" t="s">
        <v>34</v>
      </c>
      <c r="C970" t="s">
        <v>68</v>
      </c>
      <c r="D970">
        <v>0</v>
      </c>
      <c r="E970" t="s">
        <v>505</v>
      </c>
    </row>
    <row r="971" spans="1:5" x14ac:dyDescent="0.3">
      <c r="A971">
        <v>320</v>
      </c>
      <c r="B971" t="s">
        <v>77</v>
      </c>
      <c r="C971" t="s">
        <v>65</v>
      </c>
      <c r="D971">
        <v>0</v>
      </c>
      <c r="E971" t="s">
        <v>217</v>
      </c>
    </row>
    <row r="972" spans="1:5" x14ac:dyDescent="0.3">
      <c r="A972">
        <v>320</v>
      </c>
      <c r="B972" t="s">
        <v>7</v>
      </c>
      <c r="C972" t="s">
        <v>36</v>
      </c>
      <c r="D972">
        <v>61</v>
      </c>
      <c r="E972" t="s">
        <v>402</v>
      </c>
    </row>
    <row r="973" spans="1:5" x14ac:dyDescent="0.3">
      <c r="A973">
        <v>320</v>
      </c>
      <c r="B973" t="s">
        <v>4</v>
      </c>
      <c r="C973" t="s">
        <v>36</v>
      </c>
      <c r="D973">
        <v>1</v>
      </c>
      <c r="E973" t="s">
        <v>487</v>
      </c>
    </row>
    <row r="974" spans="1:5" x14ac:dyDescent="0.3">
      <c r="A974">
        <v>320</v>
      </c>
      <c r="B974" t="s">
        <v>5</v>
      </c>
      <c r="C974" t="s">
        <v>36</v>
      </c>
      <c r="D974">
        <v>0</v>
      </c>
      <c r="E974" t="s">
        <v>362</v>
      </c>
    </row>
    <row r="975" spans="1:5" x14ac:dyDescent="0.3">
      <c r="A975">
        <v>320</v>
      </c>
      <c r="B975" t="s">
        <v>12</v>
      </c>
      <c r="C975" t="s">
        <v>37</v>
      </c>
      <c r="D975">
        <v>4</v>
      </c>
      <c r="E975" t="s">
        <v>490</v>
      </c>
    </row>
    <row r="976" spans="1:5" x14ac:dyDescent="0.3">
      <c r="A976">
        <v>320</v>
      </c>
      <c r="B976" t="s">
        <v>21</v>
      </c>
      <c r="C976" t="s">
        <v>65</v>
      </c>
      <c r="D976">
        <v>2</v>
      </c>
      <c r="E976" t="s">
        <v>226</v>
      </c>
    </row>
    <row r="977" spans="1:5" x14ac:dyDescent="0.3">
      <c r="A977">
        <v>320</v>
      </c>
      <c r="B977" t="s">
        <v>33</v>
      </c>
      <c r="C977" t="s">
        <v>68</v>
      </c>
      <c r="D977">
        <v>1</v>
      </c>
      <c r="E977" t="s">
        <v>403</v>
      </c>
    </row>
    <row r="978" spans="1:5" x14ac:dyDescent="0.3">
      <c r="A978">
        <v>320</v>
      </c>
      <c r="B978" t="s">
        <v>34</v>
      </c>
      <c r="C978" t="s">
        <v>68</v>
      </c>
      <c r="D978">
        <v>0</v>
      </c>
      <c r="E978" t="s">
        <v>439</v>
      </c>
    </row>
    <row r="979" spans="1:5" x14ac:dyDescent="0.3">
      <c r="A979">
        <v>320</v>
      </c>
      <c r="B979" t="s">
        <v>74</v>
      </c>
      <c r="C979" t="s">
        <v>65</v>
      </c>
      <c r="D979">
        <v>2</v>
      </c>
      <c r="E979" t="s">
        <v>124</v>
      </c>
    </row>
    <row r="980" spans="1:5" x14ac:dyDescent="0.3">
      <c r="A980">
        <v>320</v>
      </c>
      <c r="B980" t="s">
        <v>78</v>
      </c>
      <c r="C980" t="s">
        <v>37</v>
      </c>
      <c r="D980">
        <v>1</v>
      </c>
      <c r="E980" t="s">
        <v>124</v>
      </c>
    </row>
    <row r="981" spans="1:5" x14ac:dyDescent="0.3">
      <c r="A981">
        <v>320</v>
      </c>
      <c r="B981" t="s">
        <v>76</v>
      </c>
      <c r="C981" t="s">
        <v>68</v>
      </c>
      <c r="D981">
        <v>1</v>
      </c>
      <c r="E981" t="s">
        <v>157</v>
      </c>
    </row>
    <row r="982" spans="1:5" x14ac:dyDescent="0.3">
      <c r="A982">
        <v>320</v>
      </c>
      <c r="B982" t="s">
        <v>6</v>
      </c>
      <c r="C982" t="s">
        <v>36</v>
      </c>
      <c r="D982">
        <v>49</v>
      </c>
      <c r="E982" t="s">
        <v>402</v>
      </c>
    </row>
    <row r="983" spans="1:5" x14ac:dyDescent="0.3">
      <c r="A983">
        <v>320</v>
      </c>
      <c r="B983" t="s">
        <v>38</v>
      </c>
      <c r="C983" t="s">
        <v>68</v>
      </c>
      <c r="D983">
        <v>0</v>
      </c>
      <c r="E983" t="s">
        <v>94</v>
      </c>
    </row>
    <row r="984" spans="1:5" x14ac:dyDescent="0.3">
      <c r="A984">
        <v>321</v>
      </c>
      <c r="B984" t="s">
        <v>34</v>
      </c>
      <c r="C984" t="s">
        <v>68</v>
      </c>
      <c r="D984">
        <v>0</v>
      </c>
      <c r="E984" t="s">
        <v>403</v>
      </c>
    </row>
    <row r="985" spans="1:5" x14ac:dyDescent="0.3">
      <c r="A985">
        <v>321</v>
      </c>
      <c r="B985" t="s">
        <v>76</v>
      </c>
      <c r="C985" t="s">
        <v>68</v>
      </c>
      <c r="D985">
        <v>1</v>
      </c>
      <c r="E985" t="s">
        <v>94</v>
      </c>
    </row>
    <row r="986" spans="1:5" x14ac:dyDescent="0.3">
      <c r="A986">
        <v>321</v>
      </c>
      <c r="B986" t="s">
        <v>6</v>
      </c>
      <c r="C986" t="s">
        <v>36</v>
      </c>
      <c r="D986">
        <v>69</v>
      </c>
      <c r="E986" t="s">
        <v>491</v>
      </c>
    </row>
    <row r="987" spans="1:5" x14ac:dyDescent="0.3">
      <c r="A987">
        <v>321</v>
      </c>
      <c r="B987" t="s">
        <v>7</v>
      </c>
      <c r="C987" t="s">
        <v>36</v>
      </c>
      <c r="D987">
        <v>257</v>
      </c>
      <c r="E987" t="s">
        <v>114</v>
      </c>
    </row>
    <row r="988" spans="1:5" x14ac:dyDescent="0.3">
      <c r="A988">
        <v>321</v>
      </c>
      <c r="B988" t="s">
        <v>4</v>
      </c>
      <c r="C988" t="s">
        <v>36</v>
      </c>
      <c r="D988">
        <v>0</v>
      </c>
      <c r="E988" t="s">
        <v>339</v>
      </c>
    </row>
    <row r="989" spans="1:5" x14ac:dyDescent="0.3">
      <c r="A989">
        <v>321</v>
      </c>
      <c r="B989" t="s">
        <v>33</v>
      </c>
      <c r="C989" t="s">
        <v>68</v>
      </c>
      <c r="D989">
        <v>0</v>
      </c>
      <c r="E989" t="s">
        <v>94</v>
      </c>
    </row>
    <row r="990" spans="1:5" x14ac:dyDescent="0.3">
      <c r="A990">
        <v>321</v>
      </c>
      <c r="B990" t="s">
        <v>78</v>
      </c>
      <c r="C990" t="s">
        <v>37</v>
      </c>
      <c r="D990">
        <v>1</v>
      </c>
      <c r="E990" t="s">
        <v>94</v>
      </c>
    </row>
    <row r="991" spans="1:5" x14ac:dyDescent="0.3">
      <c r="A991">
        <v>321</v>
      </c>
      <c r="B991" t="s">
        <v>74</v>
      </c>
      <c r="C991" t="s">
        <v>65</v>
      </c>
      <c r="D991">
        <v>2</v>
      </c>
      <c r="E991" t="s">
        <v>188</v>
      </c>
    </row>
    <row r="992" spans="1:5" x14ac:dyDescent="0.3">
      <c r="A992">
        <v>322</v>
      </c>
      <c r="B992" t="s">
        <v>7</v>
      </c>
      <c r="C992" t="s">
        <v>36</v>
      </c>
      <c r="D992">
        <v>60</v>
      </c>
      <c r="E992" t="s">
        <v>457</v>
      </c>
    </row>
    <row r="993" spans="1:5" x14ac:dyDescent="0.3">
      <c r="A993">
        <v>322</v>
      </c>
      <c r="B993" t="s">
        <v>6</v>
      </c>
      <c r="C993" t="s">
        <v>36</v>
      </c>
      <c r="D993">
        <v>60</v>
      </c>
      <c r="E993" t="s">
        <v>457</v>
      </c>
    </row>
    <row r="994" spans="1:5" x14ac:dyDescent="0.3">
      <c r="A994">
        <v>322</v>
      </c>
      <c r="B994" t="s">
        <v>74</v>
      </c>
      <c r="C994" t="s">
        <v>65</v>
      </c>
      <c r="D994">
        <v>1</v>
      </c>
      <c r="E994" t="s">
        <v>403</v>
      </c>
    </row>
    <row r="995" spans="1:5" x14ac:dyDescent="0.3">
      <c r="A995">
        <v>322</v>
      </c>
      <c r="B995" t="s">
        <v>20</v>
      </c>
      <c r="C995" t="s">
        <v>65</v>
      </c>
      <c r="D995">
        <v>0</v>
      </c>
      <c r="E995" t="s">
        <v>447</v>
      </c>
    </row>
    <row r="996" spans="1:5" x14ac:dyDescent="0.3">
      <c r="A996">
        <v>322</v>
      </c>
      <c r="B996" t="s">
        <v>28</v>
      </c>
      <c r="C996" t="s">
        <v>68</v>
      </c>
      <c r="D996">
        <v>0</v>
      </c>
      <c r="E996" t="s">
        <v>217</v>
      </c>
    </row>
    <row r="997" spans="1:5" x14ac:dyDescent="0.3">
      <c r="A997">
        <v>322</v>
      </c>
      <c r="B997" t="s">
        <v>29</v>
      </c>
      <c r="C997" t="s">
        <v>68</v>
      </c>
      <c r="D997">
        <v>0</v>
      </c>
      <c r="E997" t="s">
        <v>485</v>
      </c>
    </row>
    <row r="998" spans="1:5" x14ac:dyDescent="0.3">
      <c r="A998">
        <v>322</v>
      </c>
      <c r="B998" t="s">
        <v>33</v>
      </c>
      <c r="C998" t="s">
        <v>68</v>
      </c>
      <c r="D998">
        <v>1</v>
      </c>
      <c r="E998" t="s">
        <v>217</v>
      </c>
    </row>
    <row r="999" spans="1:5" x14ac:dyDescent="0.3">
      <c r="A999">
        <v>322</v>
      </c>
      <c r="B999" t="s">
        <v>76</v>
      </c>
      <c r="C999" t="s">
        <v>68</v>
      </c>
      <c r="D999">
        <v>1</v>
      </c>
      <c r="E999" t="s">
        <v>217</v>
      </c>
    </row>
    <row r="1000" spans="1:5" x14ac:dyDescent="0.3">
      <c r="A1000">
        <v>322</v>
      </c>
      <c r="B1000" t="s">
        <v>78</v>
      </c>
      <c r="C1000" t="s">
        <v>37</v>
      </c>
      <c r="D1000">
        <v>1</v>
      </c>
      <c r="E1000" t="s">
        <v>403</v>
      </c>
    </row>
    <row r="1001" spans="1:5" x14ac:dyDescent="0.3">
      <c r="A1001">
        <v>323</v>
      </c>
      <c r="B1001" t="s">
        <v>7</v>
      </c>
      <c r="C1001" t="s">
        <v>36</v>
      </c>
      <c r="D1001">
        <v>8</v>
      </c>
      <c r="E1001" t="s">
        <v>217</v>
      </c>
    </row>
    <row r="1002" spans="1:5" x14ac:dyDescent="0.3">
      <c r="A1002">
        <v>323</v>
      </c>
      <c r="B1002" t="s">
        <v>78</v>
      </c>
      <c r="C1002" t="s">
        <v>37</v>
      </c>
      <c r="D1002">
        <v>1</v>
      </c>
      <c r="E1002" t="s">
        <v>400</v>
      </c>
    </row>
    <row r="1003" spans="1:5" x14ac:dyDescent="0.3">
      <c r="A1003">
        <v>323</v>
      </c>
      <c r="B1003" t="s">
        <v>77</v>
      </c>
      <c r="C1003" t="s">
        <v>65</v>
      </c>
      <c r="D1003">
        <v>0</v>
      </c>
      <c r="E1003" t="s">
        <v>495</v>
      </c>
    </row>
    <row r="1004" spans="1:5" x14ac:dyDescent="0.3">
      <c r="A1004">
        <v>323</v>
      </c>
      <c r="B1004" t="s">
        <v>76</v>
      </c>
      <c r="C1004" t="s">
        <v>68</v>
      </c>
      <c r="D1004">
        <v>1</v>
      </c>
      <c r="E1004" t="s">
        <v>478</v>
      </c>
    </row>
    <row r="1005" spans="1:5" x14ac:dyDescent="0.3">
      <c r="A1005">
        <v>323</v>
      </c>
      <c r="B1005" t="s">
        <v>74</v>
      </c>
      <c r="C1005" t="s">
        <v>65</v>
      </c>
      <c r="D1005">
        <v>2</v>
      </c>
      <c r="E1005" t="s">
        <v>340</v>
      </c>
    </row>
    <row r="1006" spans="1:5" x14ac:dyDescent="0.3">
      <c r="A1006">
        <v>323</v>
      </c>
      <c r="B1006" t="s">
        <v>18</v>
      </c>
      <c r="C1006" t="s">
        <v>37</v>
      </c>
      <c r="D1006">
        <v>45</v>
      </c>
      <c r="E1006" t="s">
        <v>362</v>
      </c>
    </row>
    <row r="1007" spans="1:5" x14ac:dyDescent="0.3">
      <c r="A1007">
        <v>323</v>
      </c>
      <c r="B1007" t="s">
        <v>6</v>
      </c>
      <c r="C1007" t="s">
        <v>36</v>
      </c>
      <c r="D1007">
        <v>20</v>
      </c>
      <c r="E1007" t="s">
        <v>528</v>
      </c>
    </row>
    <row r="1008" spans="1:5" x14ac:dyDescent="0.3">
      <c r="A1008">
        <v>323</v>
      </c>
      <c r="B1008" t="s">
        <v>28</v>
      </c>
      <c r="C1008" t="s">
        <v>68</v>
      </c>
      <c r="D1008">
        <v>0</v>
      </c>
      <c r="E1008" t="s">
        <v>371</v>
      </c>
    </row>
    <row r="1009" spans="1:5" x14ac:dyDescent="0.3">
      <c r="A1009">
        <v>323</v>
      </c>
      <c r="B1009" t="s">
        <v>33</v>
      </c>
      <c r="C1009" t="s">
        <v>68</v>
      </c>
      <c r="D1009">
        <v>1</v>
      </c>
      <c r="E1009" t="s">
        <v>94</v>
      </c>
    </row>
    <row r="1010" spans="1:5" x14ac:dyDescent="0.3">
      <c r="A1010">
        <v>324</v>
      </c>
      <c r="B1010" t="s">
        <v>74</v>
      </c>
      <c r="C1010" t="s">
        <v>65</v>
      </c>
      <c r="D1010">
        <v>1</v>
      </c>
      <c r="E1010" t="s">
        <v>94</v>
      </c>
    </row>
    <row r="1011" spans="1:5" x14ac:dyDescent="0.3">
      <c r="A1011">
        <v>324</v>
      </c>
      <c r="B1011" t="s">
        <v>76</v>
      </c>
      <c r="C1011" t="s">
        <v>68</v>
      </c>
      <c r="D1011">
        <v>1</v>
      </c>
      <c r="E1011" t="s">
        <v>269</v>
      </c>
    </row>
    <row r="1012" spans="1:5" x14ac:dyDescent="0.3">
      <c r="A1012">
        <v>324</v>
      </c>
      <c r="B1012" t="s">
        <v>77</v>
      </c>
      <c r="C1012" t="s">
        <v>65</v>
      </c>
      <c r="D1012">
        <v>1</v>
      </c>
      <c r="E1012" t="s">
        <v>360</v>
      </c>
    </row>
    <row r="1013" spans="1:5" x14ac:dyDescent="0.3">
      <c r="A1013">
        <v>324</v>
      </c>
      <c r="B1013" t="s">
        <v>33</v>
      </c>
      <c r="C1013" t="s">
        <v>68</v>
      </c>
      <c r="D1013">
        <v>1</v>
      </c>
      <c r="E1013" t="s">
        <v>403</v>
      </c>
    </row>
    <row r="1014" spans="1:5" x14ac:dyDescent="0.3">
      <c r="A1014">
        <v>324</v>
      </c>
      <c r="B1014" t="s">
        <v>80</v>
      </c>
      <c r="C1014" t="s">
        <v>68</v>
      </c>
      <c r="D1014">
        <v>0</v>
      </c>
      <c r="E1014" t="s">
        <v>94</v>
      </c>
    </row>
    <row r="1015" spans="1:5" x14ac:dyDescent="0.3">
      <c r="A1015">
        <v>324</v>
      </c>
      <c r="B1015" t="s">
        <v>5</v>
      </c>
      <c r="C1015" t="s">
        <v>36</v>
      </c>
      <c r="D1015">
        <v>0</v>
      </c>
      <c r="E1015" t="s">
        <v>64</v>
      </c>
    </row>
    <row r="1016" spans="1:5" x14ac:dyDescent="0.3">
      <c r="A1016">
        <v>324</v>
      </c>
      <c r="B1016" t="s">
        <v>4</v>
      </c>
      <c r="C1016" t="s">
        <v>36</v>
      </c>
      <c r="D1016">
        <v>2</v>
      </c>
      <c r="E1016" t="s">
        <v>64</v>
      </c>
    </row>
    <row r="1017" spans="1:5" x14ac:dyDescent="0.3">
      <c r="A1017">
        <v>324</v>
      </c>
      <c r="B1017" t="s">
        <v>7</v>
      </c>
      <c r="C1017" t="s">
        <v>36</v>
      </c>
      <c r="D1017">
        <v>193</v>
      </c>
      <c r="E1017" t="s">
        <v>521</v>
      </c>
    </row>
    <row r="1018" spans="1:5" x14ac:dyDescent="0.3">
      <c r="A1018">
        <v>324</v>
      </c>
      <c r="B1018" t="s">
        <v>6</v>
      </c>
      <c r="C1018" t="s">
        <v>36</v>
      </c>
      <c r="D1018">
        <v>193</v>
      </c>
      <c r="E1018" t="s">
        <v>521</v>
      </c>
    </row>
    <row r="1019" spans="1:5" x14ac:dyDescent="0.3">
      <c r="A1019">
        <v>324</v>
      </c>
      <c r="B1019" t="s">
        <v>78</v>
      </c>
      <c r="C1019" t="s">
        <v>37</v>
      </c>
      <c r="D1019">
        <v>1</v>
      </c>
      <c r="E1019" t="s">
        <v>403</v>
      </c>
    </row>
    <row r="1020" spans="1:5" x14ac:dyDescent="0.3">
      <c r="A1020">
        <v>325</v>
      </c>
      <c r="B1020" t="s">
        <v>4</v>
      </c>
      <c r="C1020" t="s">
        <v>36</v>
      </c>
      <c r="D1020">
        <v>2</v>
      </c>
      <c r="E1020" t="s">
        <v>496</v>
      </c>
    </row>
    <row r="1021" spans="1:5" x14ac:dyDescent="0.3">
      <c r="A1021">
        <v>325</v>
      </c>
      <c r="B1021" t="s">
        <v>80</v>
      </c>
      <c r="C1021" t="s">
        <v>68</v>
      </c>
      <c r="D1021">
        <v>24</v>
      </c>
      <c r="E1021" t="s">
        <v>447</v>
      </c>
    </row>
    <row r="1022" spans="1:5" x14ac:dyDescent="0.3">
      <c r="A1022">
        <v>325</v>
      </c>
      <c r="B1022" t="s">
        <v>78</v>
      </c>
      <c r="C1022" t="s">
        <v>37</v>
      </c>
      <c r="D1022">
        <v>3</v>
      </c>
      <c r="E1022" t="s">
        <v>529</v>
      </c>
    </row>
    <row r="1023" spans="1:5" x14ac:dyDescent="0.3">
      <c r="A1023">
        <v>326</v>
      </c>
      <c r="B1023" t="s">
        <v>4</v>
      </c>
      <c r="C1023" t="s">
        <v>36</v>
      </c>
      <c r="D1023">
        <v>1</v>
      </c>
      <c r="E1023" t="s">
        <v>497</v>
      </c>
    </row>
    <row r="1024" spans="1:5" x14ac:dyDescent="0.3">
      <c r="A1024">
        <v>326</v>
      </c>
      <c r="B1024" t="s">
        <v>28</v>
      </c>
      <c r="C1024" t="s">
        <v>68</v>
      </c>
      <c r="D1024">
        <v>0</v>
      </c>
      <c r="E1024" t="s">
        <v>94</v>
      </c>
    </row>
    <row r="1025" spans="1:5" x14ac:dyDescent="0.3">
      <c r="A1025">
        <v>327</v>
      </c>
      <c r="B1025" t="s">
        <v>78</v>
      </c>
      <c r="C1025" t="s">
        <v>37</v>
      </c>
      <c r="D1025">
        <v>1</v>
      </c>
      <c r="E1025" t="s">
        <v>403</v>
      </c>
    </row>
    <row r="1026" spans="1:5" x14ac:dyDescent="0.3">
      <c r="A1026">
        <v>327</v>
      </c>
      <c r="B1026" t="s">
        <v>74</v>
      </c>
      <c r="C1026" t="s">
        <v>65</v>
      </c>
      <c r="D1026">
        <v>15778490</v>
      </c>
      <c r="E1026" t="s">
        <v>510</v>
      </c>
    </row>
    <row r="1027" spans="1:5" x14ac:dyDescent="0.3">
      <c r="A1027">
        <v>327</v>
      </c>
      <c r="B1027" t="s">
        <v>76</v>
      </c>
      <c r="C1027" t="s">
        <v>68</v>
      </c>
      <c r="D1027">
        <v>1</v>
      </c>
      <c r="E1027" t="s">
        <v>217</v>
      </c>
    </row>
    <row r="1028" spans="1:5" x14ac:dyDescent="0.3">
      <c r="A1028">
        <v>327</v>
      </c>
      <c r="B1028" t="s">
        <v>77</v>
      </c>
      <c r="C1028" t="s">
        <v>65</v>
      </c>
      <c r="D1028">
        <v>0</v>
      </c>
      <c r="E1028" t="s">
        <v>362</v>
      </c>
    </row>
    <row r="1029" spans="1:5" x14ac:dyDescent="0.3">
      <c r="A1029">
        <v>327</v>
      </c>
      <c r="B1029" t="s">
        <v>5</v>
      </c>
      <c r="C1029" t="s">
        <v>36</v>
      </c>
      <c r="D1029">
        <v>0</v>
      </c>
      <c r="E1029" t="s">
        <v>355</v>
      </c>
    </row>
    <row r="1030" spans="1:5" x14ac:dyDescent="0.3">
      <c r="A1030">
        <v>327</v>
      </c>
      <c r="B1030" t="s">
        <v>4</v>
      </c>
      <c r="C1030" t="s">
        <v>36</v>
      </c>
      <c r="D1030">
        <v>0</v>
      </c>
      <c r="E1030" t="s">
        <v>498</v>
      </c>
    </row>
    <row r="1031" spans="1:5" x14ac:dyDescent="0.3">
      <c r="A1031">
        <v>327</v>
      </c>
      <c r="B1031" t="s">
        <v>7</v>
      </c>
      <c r="C1031" t="s">
        <v>36</v>
      </c>
      <c r="D1031">
        <v>136</v>
      </c>
      <c r="E1031" t="s">
        <v>457</v>
      </c>
    </row>
    <row r="1032" spans="1:5" x14ac:dyDescent="0.3">
      <c r="A1032">
        <v>327</v>
      </c>
      <c r="B1032" t="s">
        <v>6</v>
      </c>
      <c r="C1032" t="s">
        <v>36</v>
      </c>
      <c r="D1032">
        <v>136</v>
      </c>
      <c r="E1032" t="s">
        <v>457</v>
      </c>
    </row>
    <row r="1033" spans="1:5" x14ac:dyDescent="0.3">
      <c r="A1033">
        <v>327</v>
      </c>
      <c r="B1033" t="s">
        <v>12</v>
      </c>
      <c r="C1033" t="s">
        <v>37</v>
      </c>
      <c r="D1033">
        <v>5</v>
      </c>
      <c r="E1033" t="s">
        <v>502</v>
      </c>
    </row>
    <row r="1034" spans="1:5" x14ac:dyDescent="0.3">
      <c r="A1034">
        <v>328</v>
      </c>
      <c r="B1034" t="s">
        <v>78</v>
      </c>
      <c r="C1034" t="s">
        <v>37</v>
      </c>
      <c r="D1034">
        <v>1</v>
      </c>
      <c r="E1034" t="s">
        <v>94</v>
      </c>
    </row>
    <row r="1035" spans="1:5" x14ac:dyDescent="0.3">
      <c r="A1035">
        <v>328</v>
      </c>
      <c r="B1035" t="s">
        <v>4</v>
      </c>
      <c r="C1035" t="s">
        <v>36</v>
      </c>
      <c r="D1035">
        <v>1</v>
      </c>
      <c r="E1035" t="s">
        <v>499</v>
      </c>
    </row>
    <row r="1036" spans="1:5" x14ac:dyDescent="0.3">
      <c r="A1036">
        <v>328</v>
      </c>
      <c r="B1036" t="s">
        <v>5</v>
      </c>
      <c r="C1036" t="s">
        <v>36</v>
      </c>
      <c r="D1036">
        <v>0</v>
      </c>
      <c r="E1036" t="s">
        <v>339</v>
      </c>
    </row>
    <row r="1037" spans="1:5" x14ac:dyDescent="0.3">
      <c r="A1037">
        <v>329</v>
      </c>
      <c r="B1037" t="s">
        <v>5</v>
      </c>
      <c r="C1037" t="s">
        <v>36</v>
      </c>
      <c r="D1037">
        <v>0</v>
      </c>
      <c r="E1037" t="s">
        <v>500</v>
      </c>
    </row>
    <row r="1038" spans="1:5" x14ac:dyDescent="0.3">
      <c r="A1038">
        <v>330</v>
      </c>
      <c r="B1038" t="s">
        <v>7</v>
      </c>
      <c r="C1038" t="s">
        <v>36</v>
      </c>
      <c r="D1038">
        <v>248</v>
      </c>
      <c r="E1038" t="s">
        <v>462</v>
      </c>
    </row>
    <row r="1039" spans="1:5" x14ac:dyDescent="0.3">
      <c r="A1039">
        <v>330</v>
      </c>
      <c r="B1039" t="s">
        <v>12</v>
      </c>
      <c r="C1039" t="s">
        <v>37</v>
      </c>
      <c r="D1039">
        <v>4</v>
      </c>
      <c r="E1039" t="s">
        <v>447</v>
      </c>
    </row>
    <row r="1040" spans="1:5" x14ac:dyDescent="0.3">
      <c r="A1040">
        <v>330</v>
      </c>
      <c r="B1040" t="s">
        <v>33</v>
      </c>
      <c r="C1040" t="s">
        <v>68</v>
      </c>
      <c r="D1040">
        <v>0</v>
      </c>
      <c r="E1040" t="s">
        <v>269</v>
      </c>
    </row>
    <row r="1041" spans="1:5" x14ac:dyDescent="0.3">
      <c r="A1041">
        <v>330</v>
      </c>
      <c r="B1041" t="s">
        <v>74</v>
      </c>
      <c r="C1041" t="s">
        <v>65</v>
      </c>
      <c r="D1041">
        <v>1</v>
      </c>
      <c r="E1041" t="s">
        <v>379</v>
      </c>
    </row>
    <row r="1042" spans="1:5" x14ac:dyDescent="0.3">
      <c r="A1042">
        <v>330</v>
      </c>
      <c r="B1042" t="s">
        <v>76</v>
      </c>
      <c r="C1042" t="s">
        <v>68</v>
      </c>
      <c r="D1042">
        <v>1</v>
      </c>
      <c r="E1042" t="s">
        <v>269</v>
      </c>
    </row>
    <row r="1043" spans="1:5" x14ac:dyDescent="0.3">
      <c r="A1043">
        <v>330</v>
      </c>
      <c r="B1043" t="s">
        <v>6</v>
      </c>
      <c r="C1043" t="s">
        <v>36</v>
      </c>
      <c r="D1043">
        <v>248</v>
      </c>
      <c r="E1043" t="s">
        <v>447</v>
      </c>
    </row>
    <row r="1044" spans="1:5" x14ac:dyDescent="0.3">
      <c r="A1044">
        <v>331</v>
      </c>
      <c r="B1044" t="s">
        <v>4</v>
      </c>
      <c r="C1044" t="s">
        <v>36</v>
      </c>
      <c r="D1044">
        <v>1</v>
      </c>
      <c r="E1044" t="s">
        <v>509</v>
      </c>
    </row>
    <row r="1045" spans="1:5" x14ac:dyDescent="0.3">
      <c r="A1045">
        <v>331</v>
      </c>
      <c r="B1045" t="s">
        <v>5</v>
      </c>
      <c r="C1045" t="s">
        <v>36</v>
      </c>
      <c r="D1045">
        <v>0</v>
      </c>
      <c r="E1045" t="s">
        <v>509</v>
      </c>
    </row>
    <row r="1046" spans="1:5" x14ac:dyDescent="0.3">
      <c r="A1046">
        <v>332</v>
      </c>
      <c r="B1046" t="s">
        <v>78</v>
      </c>
      <c r="C1046" t="s">
        <v>37</v>
      </c>
      <c r="D1046">
        <v>1</v>
      </c>
      <c r="E1046" t="s">
        <v>269</v>
      </c>
    </row>
    <row r="1047" spans="1:5" x14ac:dyDescent="0.3">
      <c r="A1047">
        <v>332</v>
      </c>
      <c r="B1047" t="s">
        <v>6</v>
      </c>
      <c r="C1047" t="s">
        <v>36</v>
      </c>
      <c r="D1047">
        <v>71</v>
      </c>
      <c r="E1047" t="s">
        <v>521</v>
      </c>
    </row>
    <row r="1048" spans="1:5" x14ac:dyDescent="0.3">
      <c r="A1048">
        <v>332</v>
      </c>
      <c r="B1048" t="s">
        <v>76</v>
      </c>
      <c r="C1048" t="s">
        <v>68</v>
      </c>
      <c r="D1048">
        <v>0</v>
      </c>
      <c r="E1048" t="s">
        <v>269</v>
      </c>
    </row>
    <row r="1049" spans="1:5" x14ac:dyDescent="0.3">
      <c r="A1049">
        <v>332</v>
      </c>
      <c r="B1049" t="s">
        <v>74</v>
      </c>
      <c r="C1049" t="s">
        <v>65</v>
      </c>
      <c r="D1049">
        <v>2</v>
      </c>
      <c r="E1049" t="s">
        <v>403</v>
      </c>
    </row>
    <row r="1050" spans="1:5" x14ac:dyDescent="0.3">
      <c r="A1050">
        <v>332</v>
      </c>
      <c r="B1050" t="s">
        <v>33</v>
      </c>
      <c r="C1050" t="s">
        <v>68</v>
      </c>
      <c r="D1050">
        <v>2</v>
      </c>
      <c r="E1050" t="s">
        <v>269</v>
      </c>
    </row>
    <row r="1051" spans="1:5" x14ac:dyDescent="0.3">
      <c r="A1051">
        <v>332</v>
      </c>
      <c r="B1051" t="s">
        <v>31</v>
      </c>
      <c r="C1051" t="s">
        <v>68</v>
      </c>
      <c r="D1051">
        <v>1</v>
      </c>
      <c r="E1051" t="s">
        <v>269</v>
      </c>
    </row>
    <row r="1052" spans="1:5" x14ac:dyDescent="0.3">
      <c r="A1052">
        <v>332</v>
      </c>
      <c r="B1052" t="s">
        <v>5</v>
      </c>
      <c r="C1052" t="s">
        <v>36</v>
      </c>
      <c r="D1052">
        <v>0</v>
      </c>
      <c r="E1052" t="s">
        <v>509</v>
      </c>
    </row>
    <row r="1053" spans="1:5" x14ac:dyDescent="0.3">
      <c r="A1053">
        <v>332</v>
      </c>
      <c r="B1053" t="s">
        <v>7</v>
      </c>
      <c r="C1053" t="s">
        <v>36</v>
      </c>
      <c r="D1053">
        <v>71</v>
      </c>
      <c r="E1053" t="s">
        <v>520</v>
      </c>
    </row>
    <row r="1054" spans="1:5" x14ac:dyDescent="0.3">
      <c r="A1054">
        <v>333</v>
      </c>
      <c r="B1054" t="s">
        <v>76</v>
      </c>
      <c r="C1054" t="s">
        <v>68</v>
      </c>
      <c r="D1054">
        <v>2</v>
      </c>
      <c r="E1054" t="s">
        <v>362</v>
      </c>
    </row>
    <row r="1055" spans="1:5" x14ac:dyDescent="0.3">
      <c r="A1055">
        <v>333</v>
      </c>
      <c r="B1055" t="s">
        <v>7</v>
      </c>
      <c r="C1055" t="s">
        <v>36</v>
      </c>
      <c r="D1055">
        <v>106</v>
      </c>
      <c r="E1055" t="s">
        <v>447</v>
      </c>
    </row>
    <row r="1056" spans="1:5" x14ac:dyDescent="0.3">
      <c r="A1056">
        <v>333</v>
      </c>
      <c r="B1056" t="s">
        <v>21</v>
      </c>
      <c r="C1056" t="s">
        <v>65</v>
      </c>
      <c r="D1056">
        <v>1</v>
      </c>
      <c r="E1056" t="s">
        <v>506</v>
      </c>
    </row>
    <row r="1057" spans="1:5" x14ac:dyDescent="0.3">
      <c r="A1057">
        <v>333</v>
      </c>
      <c r="B1057" t="s">
        <v>33</v>
      </c>
      <c r="C1057" t="s">
        <v>68</v>
      </c>
      <c r="D1057">
        <v>1</v>
      </c>
      <c r="E1057" t="s">
        <v>217</v>
      </c>
    </row>
    <row r="1058" spans="1:5" x14ac:dyDescent="0.3">
      <c r="A1058">
        <v>333</v>
      </c>
      <c r="B1058" t="s">
        <v>74</v>
      </c>
      <c r="C1058" t="s">
        <v>65</v>
      </c>
      <c r="D1058">
        <v>1</v>
      </c>
      <c r="E1058" t="s">
        <v>379</v>
      </c>
    </row>
    <row r="1059" spans="1:5" x14ac:dyDescent="0.3">
      <c r="A1059">
        <v>333</v>
      </c>
      <c r="B1059" t="s">
        <v>78</v>
      </c>
      <c r="C1059" t="s">
        <v>37</v>
      </c>
      <c r="D1059">
        <v>1</v>
      </c>
      <c r="E1059" t="s">
        <v>362</v>
      </c>
    </row>
    <row r="1060" spans="1:5" x14ac:dyDescent="0.3">
      <c r="A1060">
        <v>333</v>
      </c>
      <c r="B1060" t="s">
        <v>4</v>
      </c>
      <c r="C1060" t="s">
        <v>36</v>
      </c>
      <c r="D1060">
        <v>1</v>
      </c>
      <c r="E1060" t="s">
        <v>447</v>
      </c>
    </row>
    <row r="1061" spans="1:5" x14ac:dyDescent="0.3">
      <c r="A1061">
        <v>333</v>
      </c>
      <c r="B1061" t="s">
        <v>6</v>
      </c>
      <c r="C1061" t="s">
        <v>36</v>
      </c>
      <c r="D1061">
        <v>106</v>
      </c>
      <c r="E1061" t="s">
        <v>447</v>
      </c>
    </row>
    <row r="1062" spans="1:5" x14ac:dyDescent="0.3">
      <c r="A1062">
        <v>334</v>
      </c>
      <c r="B1062" t="s">
        <v>4</v>
      </c>
      <c r="C1062" t="s">
        <v>36</v>
      </c>
      <c r="D1062">
        <v>4</v>
      </c>
      <c r="E1062" t="s">
        <v>509</v>
      </c>
    </row>
    <row r="1063" spans="1:5" x14ac:dyDescent="0.3">
      <c r="A1063">
        <v>334</v>
      </c>
      <c r="B1063" t="s">
        <v>12</v>
      </c>
      <c r="C1063" t="s">
        <v>37</v>
      </c>
      <c r="D1063">
        <v>2</v>
      </c>
      <c r="E1063" t="s">
        <v>509</v>
      </c>
    </row>
    <row r="1064" spans="1:5" x14ac:dyDescent="0.3">
      <c r="A1064">
        <v>334</v>
      </c>
      <c r="B1064" t="s">
        <v>33</v>
      </c>
      <c r="C1064" t="s">
        <v>68</v>
      </c>
      <c r="D1064">
        <v>1</v>
      </c>
      <c r="E1064" t="s">
        <v>335</v>
      </c>
    </row>
    <row r="1065" spans="1:5" x14ac:dyDescent="0.3">
      <c r="A1065">
        <v>334</v>
      </c>
      <c r="B1065" t="s">
        <v>74</v>
      </c>
      <c r="C1065" t="s">
        <v>65</v>
      </c>
      <c r="D1065">
        <v>2</v>
      </c>
      <c r="E1065" t="s">
        <v>340</v>
      </c>
    </row>
    <row r="1066" spans="1:5" x14ac:dyDescent="0.3">
      <c r="A1066">
        <v>334</v>
      </c>
      <c r="B1066" t="s">
        <v>78</v>
      </c>
      <c r="C1066" t="s">
        <v>37</v>
      </c>
      <c r="D1066">
        <v>1</v>
      </c>
      <c r="E1066" t="s">
        <v>511</v>
      </c>
    </row>
    <row r="1067" spans="1:5" x14ac:dyDescent="0.3">
      <c r="A1067">
        <v>334</v>
      </c>
      <c r="B1067" t="s">
        <v>76</v>
      </c>
      <c r="C1067" t="s">
        <v>68</v>
      </c>
      <c r="D1067">
        <v>1</v>
      </c>
      <c r="E1067" t="s">
        <v>269</v>
      </c>
    </row>
    <row r="1068" spans="1:5" x14ac:dyDescent="0.3">
      <c r="A1068">
        <v>335</v>
      </c>
      <c r="B1068" t="s">
        <v>74</v>
      </c>
      <c r="C1068" t="s">
        <v>65</v>
      </c>
      <c r="D1068">
        <v>1</v>
      </c>
      <c r="E1068" t="s">
        <v>340</v>
      </c>
    </row>
    <row r="1069" spans="1:5" x14ac:dyDescent="0.3">
      <c r="A1069">
        <v>335</v>
      </c>
      <c r="B1069" t="s">
        <v>4</v>
      </c>
      <c r="C1069" t="s">
        <v>36</v>
      </c>
      <c r="D1069">
        <v>1</v>
      </c>
      <c r="E1069" t="s">
        <v>457</v>
      </c>
    </row>
    <row r="1070" spans="1:5" x14ac:dyDescent="0.3">
      <c r="A1070">
        <v>335</v>
      </c>
      <c r="B1070" t="s">
        <v>5</v>
      </c>
      <c r="C1070" t="s">
        <v>36</v>
      </c>
      <c r="D1070">
        <v>1</v>
      </c>
      <c r="E1070" t="s">
        <v>509</v>
      </c>
    </row>
    <row r="1071" spans="1:5" x14ac:dyDescent="0.3">
      <c r="A1071">
        <v>336</v>
      </c>
      <c r="B1071" t="s">
        <v>76</v>
      </c>
      <c r="C1071" t="s">
        <v>68</v>
      </c>
      <c r="D1071">
        <v>2</v>
      </c>
      <c r="E1071" t="s">
        <v>362</v>
      </c>
    </row>
    <row r="1072" spans="1:5" x14ac:dyDescent="0.3">
      <c r="A1072">
        <v>336</v>
      </c>
      <c r="B1072" t="s">
        <v>33</v>
      </c>
      <c r="C1072" t="s">
        <v>68</v>
      </c>
      <c r="D1072">
        <v>1</v>
      </c>
      <c r="E1072" t="s">
        <v>269</v>
      </c>
    </row>
    <row r="1073" spans="1:5" x14ac:dyDescent="0.3">
      <c r="A1073">
        <v>336</v>
      </c>
      <c r="B1073" t="s">
        <v>78</v>
      </c>
      <c r="C1073" t="s">
        <v>37</v>
      </c>
      <c r="D1073">
        <v>1</v>
      </c>
      <c r="E1073" t="s">
        <v>362</v>
      </c>
    </row>
    <row r="1074" spans="1:5" x14ac:dyDescent="0.3">
      <c r="A1074">
        <v>339</v>
      </c>
      <c r="B1074" t="s">
        <v>7</v>
      </c>
      <c r="C1074" t="s">
        <v>36</v>
      </c>
      <c r="D1074">
        <v>131</v>
      </c>
      <c r="E1074" t="s">
        <v>518</v>
      </c>
    </row>
    <row r="1075" spans="1:5" x14ac:dyDescent="0.3">
      <c r="A1075">
        <v>339</v>
      </c>
      <c r="B1075" t="s">
        <v>6</v>
      </c>
      <c r="C1075" t="s">
        <v>36</v>
      </c>
      <c r="D1075">
        <v>131</v>
      </c>
      <c r="E1075" t="s">
        <v>447</v>
      </c>
    </row>
    <row r="1076" spans="1:5" x14ac:dyDescent="0.3">
      <c r="A1076">
        <v>339</v>
      </c>
      <c r="B1076" t="s">
        <v>76</v>
      </c>
      <c r="C1076" t="s">
        <v>68</v>
      </c>
      <c r="D1076">
        <v>1</v>
      </c>
      <c r="E1076" t="s">
        <v>94</v>
      </c>
    </row>
    <row r="1077" spans="1:5" x14ac:dyDescent="0.3">
      <c r="A1077">
        <v>339</v>
      </c>
      <c r="B1077" t="s">
        <v>78</v>
      </c>
      <c r="C1077" t="s">
        <v>37</v>
      </c>
      <c r="D1077">
        <v>1</v>
      </c>
      <c r="E1077" t="s">
        <v>516</v>
      </c>
    </row>
    <row r="1078" spans="1:5" x14ac:dyDescent="0.3">
      <c r="A1078">
        <v>339</v>
      </c>
      <c r="B1078" t="s">
        <v>74</v>
      </c>
      <c r="C1078" t="s">
        <v>65</v>
      </c>
      <c r="D1078">
        <v>1</v>
      </c>
      <c r="E1078" t="s">
        <v>362</v>
      </c>
    </row>
    <row r="1079" spans="1:5" x14ac:dyDescent="0.3">
      <c r="A1079">
        <v>339</v>
      </c>
      <c r="B1079" t="s">
        <v>34</v>
      </c>
      <c r="C1079" t="s">
        <v>68</v>
      </c>
      <c r="D1079">
        <v>0</v>
      </c>
      <c r="E1079" t="s">
        <v>517</v>
      </c>
    </row>
    <row r="1080" spans="1:5" x14ac:dyDescent="0.3">
      <c r="A1080">
        <v>339</v>
      </c>
      <c r="B1080" t="s">
        <v>33</v>
      </c>
      <c r="C1080" t="s">
        <v>68</v>
      </c>
      <c r="D1080">
        <v>1</v>
      </c>
      <c r="E1080" t="s">
        <v>217</v>
      </c>
    </row>
    <row r="1081" spans="1:5" x14ac:dyDescent="0.3">
      <c r="A1081">
        <v>339</v>
      </c>
      <c r="B1081" t="s">
        <v>29</v>
      </c>
      <c r="C1081" t="s">
        <v>68</v>
      </c>
      <c r="D1081">
        <v>0</v>
      </c>
      <c r="E1081" t="s">
        <v>94</v>
      </c>
    </row>
    <row r="1082" spans="1:5" x14ac:dyDescent="0.3">
      <c r="A1082">
        <v>339</v>
      </c>
      <c r="B1082" t="s">
        <v>4</v>
      </c>
      <c r="C1082" t="s">
        <v>36</v>
      </c>
      <c r="D1082">
        <v>3</v>
      </c>
      <c r="E1082" t="s">
        <v>355</v>
      </c>
    </row>
    <row r="1083" spans="1:5" x14ac:dyDescent="0.3">
      <c r="A1083">
        <v>340</v>
      </c>
      <c r="B1083" t="s">
        <v>78</v>
      </c>
      <c r="C1083" t="s">
        <v>37</v>
      </c>
      <c r="D1083">
        <v>1</v>
      </c>
      <c r="E1083" t="s">
        <v>94</v>
      </c>
    </row>
    <row r="1084" spans="1:5" x14ac:dyDescent="0.3">
      <c r="A1084">
        <v>340</v>
      </c>
      <c r="B1084" t="s">
        <v>74</v>
      </c>
      <c r="C1084" t="s">
        <v>65</v>
      </c>
      <c r="D1084">
        <v>1</v>
      </c>
      <c r="E1084" t="s">
        <v>94</v>
      </c>
    </row>
    <row r="1085" spans="1:5" x14ac:dyDescent="0.3">
      <c r="A1085">
        <v>340</v>
      </c>
      <c r="B1085" t="s">
        <v>34</v>
      </c>
      <c r="C1085" t="s">
        <v>68</v>
      </c>
      <c r="D1085">
        <v>0</v>
      </c>
      <c r="E1085" t="s">
        <v>362</v>
      </c>
    </row>
    <row r="1086" spans="1:5" x14ac:dyDescent="0.3">
      <c r="A1086">
        <v>340</v>
      </c>
      <c r="B1086" t="s">
        <v>33</v>
      </c>
      <c r="C1086" t="s">
        <v>68</v>
      </c>
      <c r="D1086">
        <v>1</v>
      </c>
      <c r="E1086" t="s">
        <v>362</v>
      </c>
    </row>
    <row r="1087" spans="1:5" x14ac:dyDescent="0.3">
      <c r="A1087">
        <v>340</v>
      </c>
      <c r="B1087" t="s">
        <v>29</v>
      </c>
      <c r="C1087" t="s">
        <v>68</v>
      </c>
      <c r="D1087">
        <v>0</v>
      </c>
      <c r="E1087" t="s">
        <v>362</v>
      </c>
    </row>
    <row r="1088" spans="1:5" x14ac:dyDescent="0.3">
      <c r="A1088">
        <v>340</v>
      </c>
      <c r="B1088" t="s">
        <v>28</v>
      </c>
      <c r="C1088" t="s">
        <v>68</v>
      </c>
      <c r="D1088">
        <v>0</v>
      </c>
      <c r="E1088" t="s">
        <v>94</v>
      </c>
    </row>
    <row r="1089" spans="1:5" x14ac:dyDescent="0.3">
      <c r="A1089">
        <v>340</v>
      </c>
      <c r="B1089" t="s">
        <v>7</v>
      </c>
      <c r="C1089" t="s">
        <v>36</v>
      </c>
      <c r="D1089">
        <v>101</v>
      </c>
      <c r="E1089" t="s">
        <v>447</v>
      </c>
    </row>
    <row r="1090" spans="1:5" x14ac:dyDescent="0.3">
      <c r="A1090">
        <v>340</v>
      </c>
      <c r="B1090" t="s">
        <v>6</v>
      </c>
      <c r="C1090" t="s">
        <v>36</v>
      </c>
      <c r="D1090">
        <v>101</v>
      </c>
      <c r="E1090" t="s">
        <v>447</v>
      </c>
    </row>
    <row r="1091" spans="1:5" x14ac:dyDescent="0.3">
      <c r="A1091">
        <v>340</v>
      </c>
      <c r="B1091" t="s">
        <v>76</v>
      </c>
      <c r="C1091" t="s">
        <v>68</v>
      </c>
      <c r="D1091">
        <v>1</v>
      </c>
      <c r="E1091" t="s">
        <v>217</v>
      </c>
    </row>
    <row r="1092" spans="1:5" x14ac:dyDescent="0.3">
      <c r="A1092">
        <v>341</v>
      </c>
      <c r="B1092" t="s">
        <v>6</v>
      </c>
      <c r="C1092" t="s">
        <v>36</v>
      </c>
      <c r="D1092">
        <v>31</v>
      </c>
      <c r="E1092" t="s">
        <v>335</v>
      </c>
    </row>
    <row r="1093" spans="1:5" x14ac:dyDescent="0.3">
      <c r="A1093">
        <v>341</v>
      </c>
      <c r="B1093" t="s">
        <v>76</v>
      </c>
      <c r="C1093" t="s">
        <v>68</v>
      </c>
      <c r="D1093">
        <v>1</v>
      </c>
      <c r="E1093" t="s">
        <v>335</v>
      </c>
    </row>
    <row r="1094" spans="1:5" x14ac:dyDescent="0.3">
      <c r="A1094">
        <v>341</v>
      </c>
      <c r="B1094" t="s">
        <v>78</v>
      </c>
      <c r="C1094" t="s">
        <v>37</v>
      </c>
      <c r="D1094">
        <v>1</v>
      </c>
      <c r="E1094" t="s">
        <v>513</v>
      </c>
    </row>
    <row r="1095" spans="1:5" x14ac:dyDescent="0.3">
      <c r="A1095">
        <v>341</v>
      </c>
      <c r="B1095" t="s">
        <v>74</v>
      </c>
      <c r="C1095" t="s">
        <v>65</v>
      </c>
      <c r="D1095">
        <v>2</v>
      </c>
      <c r="E1095" t="s">
        <v>340</v>
      </c>
    </row>
    <row r="1096" spans="1:5" x14ac:dyDescent="0.3">
      <c r="A1096">
        <v>341</v>
      </c>
      <c r="B1096" t="s">
        <v>33</v>
      </c>
      <c r="C1096" t="s">
        <v>68</v>
      </c>
      <c r="D1096">
        <v>1</v>
      </c>
      <c r="E1096" t="s">
        <v>335</v>
      </c>
    </row>
    <row r="1097" spans="1:5" x14ac:dyDescent="0.3">
      <c r="A1097">
        <v>341</v>
      </c>
      <c r="B1097" t="s">
        <v>12</v>
      </c>
      <c r="C1097" t="s">
        <v>37</v>
      </c>
      <c r="D1097">
        <v>15778526</v>
      </c>
      <c r="E1097" t="s">
        <v>403</v>
      </c>
    </row>
    <row r="1098" spans="1:5" x14ac:dyDescent="0.3">
      <c r="A1098">
        <v>341</v>
      </c>
      <c r="B1098" t="s">
        <v>9</v>
      </c>
      <c r="C1098" t="s">
        <v>37</v>
      </c>
      <c r="D1098">
        <v>6</v>
      </c>
      <c r="E1098" t="s">
        <v>512</v>
      </c>
    </row>
    <row r="1099" spans="1:5" x14ac:dyDescent="0.3">
      <c r="A1099">
        <v>341</v>
      </c>
      <c r="B1099" t="s">
        <v>13</v>
      </c>
      <c r="C1099" t="s">
        <v>36</v>
      </c>
      <c r="D1099">
        <v>225</v>
      </c>
      <c r="E1099" t="s">
        <v>362</v>
      </c>
    </row>
    <row r="1100" spans="1:5" x14ac:dyDescent="0.3">
      <c r="A1100">
        <v>341</v>
      </c>
      <c r="B1100" t="s">
        <v>4</v>
      </c>
      <c r="C1100" t="s">
        <v>36</v>
      </c>
      <c r="D1100">
        <v>2</v>
      </c>
      <c r="E1100" t="s">
        <v>447</v>
      </c>
    </row>
    <row r="1101" spans="1:5" x14ac:dyDescent="0.3">
      <c r="A1101">
        <v>342</v>
      </c>
      <c r="B1101" t="s">
        <v>13</v>
      </c>
      <c r="C1101" t="s">
        <v>36</v>
      </c>
      <c r="D1101">
        <v>1449</v>
      </c>
      <c r="E1101" t="s">
        <v>362</v>
      </c>
    </row>
    <row r="1102" spans="1:5" x14ac:dyDescent="0.3">
      <c r="A1102">
        <v>344</v>
      </c>
      <c r="B1102" t="s">
        <v>33</v>
      </c>
      <c r="C1102" t="s">
        <v>68</v>
      </c>
      <c r="D1102">
        <v>1</v>
      </c>
      <c r="E1102" t="s">
        <v>217</v>
      </c>
    </row>
    <row r="1103" spans="1:5" x14ac:dyDescent="0.3">
      <c r="A1103">
        <v>344</v>
      </c>
      <c r="B1103" t="s">
        <v>74</v>
      </c>
      <c r="C1103" t="s">
        <v>65</v>
      </c>
      <c r="D1103">
        <v>1</v>
      </c>
      <c r="E1103" t="s">
        <v>403</v>
      </c>
    </row>
    <row r="1104" spans="1:5" x14ac:dyDescent="0.3">
      <c r="A1104">
        <v>344</v>
      </c>
      <c r="B1104" t="s">
        <v>6</v>
      </c>
      <c r="C1104" t="s">
        <v>36</v>
      </c>
      <c r="D1104">
        <v>127</v>
      </c>
      <c r="E1104" t="s">
        <v>447</v>
      </c>
    </row>
    <row r="1105" spans="1:5" x14ac:dyDescent="0.3">
      <c r="A1105">
        <v>344</v>
      </c>
      <c r="B1105" t="s">
        <v>4</v>
      </c>
      <c r="C1105" t="s">
        <v>36</v>
      </c>
      <c r="D1105">
        <v>1</v>
      </c>
      <c r="E1105" t="s">
        <v>217</v>
      </c>
    </row>
    <row r="1106" spans="1:5" x14ac:dyDescent="0.3">
      <c r="A1106">
        <v>344</v>
      </c>
      <c r="B1106" t="s">
        <v>34</v>
      </c>
      <c r="C1106" t="s">
        <v>68</v>
      </c>
      <c r="D1106">
        <v>0</v>
      </c>
      <c r="E1106" t="s">
        <v>217</v>
      </c>
    </row>
    <row r="1107" spans="1:5" x14ac:dyDescent="0.3">
      <c r="A1107">
        <v>344</v>
      </c>
      <c r="B1107" t="s">
        <v>76</v>
      </c>
      <c r="C1107" t="s">
        <v>68</v>
      </c>
      <c r="D1107">
        <v>1</v>
      </c>
      <c r="E1107" t="s">
        <v>269</v>
      </c>
    </row>
    <row r="1108" spans="1:5" x14ac:dyDescent="0.3">
      <c r="A1108">
        <v>344</v>
      </c>
      <c r="B1108" t="s">
        <v>78</v>
      </c>
      <c r="C1108" t="s">
        <v>37</v>
      </c>
      <c r="D1108">
        <v>1</v>
      </c>
      <c r="E1108" t="s">
        <v>514</v>
      </c>
    </row>
    <row r="1109" spans="1:5" x14ac:dyDescent="0.3">
      <c r="A1109">
        <v>344</v>
      </c>
      <c r="B1109" t="s">
        <v>7</v>
      </c>
      <c r="C1109" t="s">
        <v>36</v>
      </c>
      <c r="D1109">
        <v>128</v>
      </c>
      <c r="E1109" t="s">
        <v>462</v>
      </c>
    </row>
    <row r="1110" spans="1:5" x14ac:dyDescent="0.3">
      <c r="A1110">
        <v>345</v>
      </c>
      <c r="B1110" t="s">
        <v>78</v>
      </c>
      <c r="C1110" t="s">
        <v>37</v>
      </c>
      <c r="D1110">
        <v>1</v>
      </c>
      <c r="E1110" t="s">
        <v>515</v>
      </c>
    </row>
    <row r="1111" spans="1:5" x14ac:dyDescent="0.3">
      <c r="A1111">
        <v>345</v>
      </c>
      <c r="B1111" t="s">
        <v>33</v>
      </c>
      <c r="C1111" t="s">
        <v>68</v>
      </c>
      <c r="D1111">
        <v>1</v>
      </c>
      <c r="E1111" t="s">
        <v>94</v>
      </c>
    </row>
    <row r="1112" spans="1:5" x14ac:dyDescent="0.3">
      <c r="A1112">
        <v>347</v>
      </c>
      <c r="B1112" t="s">
        <v>80</v>
      </c>
      <c r="C1112" t="s">
        <v>68</v>
      </c>
      <c r="D1112">
        <v>1</v>
      </c>
      <c r="E1112" t="s">
        <v>519</v>
      </c>
    </row>
    <row r="1113" spans="1:5" x14ac:dyDescent="0.3">
      <c r="A1113">
        <v>347</v>
      </c>
      <c r="B1113" t="s">
        <v>4</v>
      </c>
      <c r="C1113" t="s">
        <v>36</v>
      </c>
      <c r="D1113">
        <v>0</v>
      </c>
      <c r="E1113" t="s">
        <v>447</v>
      </c>
    </row>
    <row r="1114" spans="1:5" x14ac:dyDescent="0.3">
      <c r="A1114">
        <v>347</v>
      </c>
      <c r="B1114" t="s">
        <v>7</v>
      </c>
      <c r="C1114" t="s">
        <v>36</v>
      </c>
      <c r="D1114">
        <v>124</v>
      </c>
      <c r="E1114" t="s">
        <v>447</v>
      </c>
    </row>
    <row r="1115" spans="1:5" x14ac:dyDescent="0.3">
      <c r="A1115">
        <v>347</v>
      </c>
      <c r="B1115" t="s">
        <v>33</v>
      </c>
      <c r="C1115" t="s">
        <v>68</v>
      </c>
      <c r="D1115">
        <v>1</v>
      </c>
      <c r="E1115" t="s">
        <v>217</v>
      </c>
    </row>
    <row r="1116" spans="1:5" x14ac:dyDescent="0.3">
      <c r="A1116">
        <v>347</v>
      </c>
      <c r="B1116" t="s">
        <v>76</v>
      </c>
      <c r="C1116" t="s">
        <v>68</v>
      </c>
      <c r="D1116">
        <v>1</v>
      </c>
      <c r="E1116" t="s">
        <v>362</v>
      </c>
    </row>
    <row r="1117" spans="1:5" x14ac:dyDescent="0.3">
      <c r="A1117">
        <v>347</v>
      </c>
      <c r="B1117" t="s">
        <v>78</v>
      </c>
      <c r="C1117" t="s">
        <v>37</v>
      </c>
      <c r="D1117">
        <v>1</v>
      </c>
      <c r="E1117" t="s">
        <v>94</v>
      </c>
    </row>
    <row r="1118" spans="1:5" x14ac:dyDescent="0.3">
      <c r="A1118">
        <v>347</v>
      </c>
      <c r="B1118" t="s">
        <v>74</v>
      </c>
      <c r="C1118" t="s">
        <v>65</v>
      </c>
      <c r="D1118">
        <v>1</v>
      </c>
      <c r="E1118" t="s">
        <v>513</v>
      </c>
    </row>
    <row r="1119" spans="1:5" x14ac:dyDescent="0.3">
      <c r="A1119">
        <v>347</v>
      </c>
      <c r="B1119" t="s">
        <v>6</v>
      </c>
      <c r="C1119" t="s">
        <v>36</v>
      </c>
      <c r="D1119">
        <v>124</v>
      </c>
      <c r="E1119" t="s">
        <v>447</v>
      </c>
    </row>
    <row r="1120" spans="1:5" x14ac:dyDescent="0.3">
      <c r="A1120">
        <v>347</v>
      </c>
      <c r="B1120" t="s">
        <v>5</v>
      </c>
      <c r="C1120" t="s">
        <v>36</v>
      </c>
      <c r="D1120">
        <v>0</v>
      </c>
      <c r="E1120" t="s">
        <v>447</v>
      </c>
    </row>
    <row r="1121" spans="1:5" x14ac:dyDescent="0.3">
      <c r="A1121">
        <v>348</v>
      </c>
      <c r="B1121" t="s">
        <v>29</v>
      </c>
      <c r="C1121" t="s">
        <v>68</v>
      </c>
      <c r="D1121">
        <v>0</v>
      </c>
      <c r="E1121" t="s">
        <v>524</v>
      </c>
    </row>
    <row r="1122" spans="1:5" x14ac:dyDescent="0.3">
      <c r="A1122">
        <v>348</v>
      </c>
      <c r="B1122" t="s">
        <v>78</v>
      </c>
      <c r="C1122" t="s">
        <v>37</v>
      </c>
      <c r="D1122">
        <v>1</v>
      </c>
      <c r="E1122" t="s">
        <v>94</v>
      </c>
    </row>
    <row r="1123" spans="1:5" x14ac:dyDescent="0.3">
      <c r="A1123">
        <v>348</v>
      </c>
      <c r="B1123" t="s">
        <v>76</v>
      </c>
      <c r="C1123" t="s">
        <v>68</v>
      </c>
      <c r="D1123">
        <v>1</v>
      </c>
      <c r="E1123" t="s">
        <v>523</v>
      </c>
    </row>
    <row r="1124" spans="1:5" x14ac:dyDescent="0.3">
      <c r="A1124">
        <v>348</v>
      </c>
      <c r="B1124" t="s">
        <v>74</v>
      </c>
      <c r="C1124" t="s">
        <v>65</v>
      </c>
      <c r="D1124">
        <v>1</v>
      </c>
      <c r="E1124" t="s">
        <v>524</v>
      </c>
    </row>
    <row r="1125" spans="1:5" x14ac:dyDescent="0.3">
      <c r="A1125">
        <v>348</v>
      </c>
      <c r="B1125" t="s">
        <v>34</v>
      </c>
      <c r="C1125" t="s">
        <v>68</v>
      </c>
      <c r="D1125">
        <v>0</v>
      </c>
      <c r="E1125" t="s">
        <v>524</v>
      </c>
    </row>
    <row r="1126" spans="1:5" x14ac:dyDescent="0.3">
      <c r="A1126">
        <v>348</v>
      </c>
      <c r="B1126" t="s">
        <v>33</v>
      </c>
      <c r="C1126" t="s">
        <v>68</v>
      </c>
      <c r="D1126">
        <v>0</v>
      </c>
      <c r="E1126" t="s">
        <v>217</v>
      </c>
    </row>
    <row r="1127" spans="1:5" x14ac:dyDescent="0.3">
      <c r="A1127">
        <v>348</v>
      </c>
      <c r="B1127" t="s">
        <v>31</v>
      </c>
      <c r="C1127" t="s">
        <v>68</v>
      </c>
      <c r="D1127">
        <v>0</v>
      </c>
      <c r="E1127" t="s">
        <v>525</v>
      </c>
    </row>
    <row r="1128" spans="1:5" x14ac:dyDescent="0.3">
      <c r="A1128">
        <v>348</v>
      </c>
      <c r="B1128" t="s">
        <v>7</v>
      </c>
      <c r="C1128" t="s">
        <v>36</v>
      </c>
      <c r="D1128">
        <v>139</v>
      </c>
      <c r="E1128" t="s">
        <v>457</v>
      </c>
    </row>
    <row r="1129" spans="1:5" x14ac:dyDescent="0.3">
      <c r="A1129">
        <v>348</v>
      </c>
      <c r="B1129" t="s">
        <v>6</v>
      </c>
      <c r="C1129" t="s">
        <v>36</v>
      </c>
      <c r="D1129">
        <v>139</v>
      </c>
      <c r="E1129" t="s">
        <v>457</v>
      </c>
    </row>
    <row r="1130" spans="1:5" x14ac:dyDescent="0.3">
      <c r="A1130">
        <v>348</v>
      </c>
      <c r="B1130" t="s">
        <v>80</v>
      </c>
      <c r="C1130" t="s">
        <v>68</v>
      </c>
      <c r="D1130">
        <v>2</v>
      </c>
      <c r="E1130" t="s">
        <v>522</v>
      </c>
    </row>
    <row r="1131" spans="1:5" x14ac:dyDescent="0.3">
      <c r="A1131">
        <v>349</v>
      </c>
      <c r="B1131" t="s">
        <v>74</v>
      </c>
      <c r="C1131" t="s">
        <v>65</v>
      </c>
      <c r="D1131">
        <v>1</v>
      </c>
      <c r="E1131" t="s">
        <v>94</v>
      </c>
    </row>
    <row r="1132" spans="1:5" x14ac:dyDescent="0.3">
      <c r="A1132">
        <v>349</v>
      </c>
      <c r="B1132" t="s">
        <v>78</v>
      </c>
      <c r="C1132" t="s">
        <v>37</v>
      </c>
      <c r="D1132">
        <v>1</v>
      </c>
      <c r="E1132" t="s">
        <v>94</v>
      </c>
    </row>
    <row r="1133" spans="1:5" x14ac:dyDescent="0.3">
      <c r="A1133">
        <v>349</v>
      </c>
      <c r="B1133" t="s">
        <v>33</v>
      </c>
      <c r="C1133" t="s">
        <v>68</v>
      </c>
      <c r="D1133">
        <v>0</v>
      </c>
      <c r="E1133" t="s">
        <v>513</v>
      </c>
    </row>
    <row r="1134" spans="1:5" x14ac:dyDescent="0.3">
      <c r="A1134">
        <v>349</v>
      </c>
      <c r="B1134" t="s">
        <v>29</v>
      </c>
      <c r="C1134" t="s">
        <v>68</v>
      </c>
      <c r="D1134">
        <v>0</v>
      </c>
      <c r="E1134" t="s">
        <v>94</v>
      </c>
    </row>
    <row r="1135" spans="1:5" x14ac:dyDescent="0.3">
      <c r="A1135">
        <v>349</v>
      </c>
      <c r="B1135" t="s">
        <v>28</v>
      </c>
      <c r="C1135" t="s">
        <v>68</v>
      </c>
      <c r="D1135">
        <v>0</v>
      </c>
      <c r="E1135" t="s">
        <v>94</v>
      </c>
    </row>
    <row r="1136" spans="1:5" x14ac:dyDescent="0.3">
      <c r="A1136">
        <v>349</v>
      </c>
      <c r="B1136" t="s">
        <v>7</v>
      </c>
      <c r="C1136" t="s">
        <v>36</v>
      </c>
      <c r="D1136">
        <v>102</v>
      </c>
      <c r="E1136" t="s">
        <v>457</v>
      </c>
    </row>
    <row r="1137" spans="1:5" x14ac:dyDescent="0.3">
      <c r="A1137">
        <v>349</v>
      </c>
      <c r="B1137" t="s">
        <v>76</v>
      </c>
      <c r="C1137" t="s">
        <v>68</v>
      </c>
      <c r="D1137">
        <v>5</v>
      </c>
      <c r="E1137" t="s">
        <v>217</v>
      </c>
    </row>
    <row r="1138" spans="1:5" x14ac:dyDescent="0.3">
      <c r="A1138">
        <v>349</v>
      </c>
      <c r="B1138" t="s">
        <v>6</v>
      </c>
      <c r="C1138" t="s">
        <v>36</v>
      </c>
      <c r="D1138">
        <v>102</v>
      </c>
      <c r="E1138" t="s">
        <v>457</v>
      </c>
    </row>
    <row r="1139" spans="1:5" x14ac:dyDescent="0.3">
      <c r="A1139">
        <v>349</v>
      </c>
      <c r="B1139" t="s">
        <v>34</v>
      </c>
      <c r="C1139" t="s">
        <v>68</v>
      </c>
      <c r="D1139">
        <v>0</v>
      </c>
      <c r="E1139" t="s">
        <v>403</v>
      </c>
    </row>
    <row r="1140" spans="1:5" x14ac:dyDescent="0.3">
      <c r="A1140">
        <v>350</v>
      </c>
      <c r="B1140" t="s">
        <v>28</v>
      </c>
      <c r="C1140" t="s">
        <v>68</v>
      </c>
      <c r="D1140">
        <v>1</v>
      </c>
      <c r="E1140" t="s">
        <v>524</v>
      </c>
    </row>
    <row r="1141" spans="1:5" x14ac:dyDescent="0.3">
      <c r="A1141">
        <v>350</v>
      </c>
      <c r="B1141" t="s">
        <v>33</v>
      </c>
      <c r="C1141" t="s">
        <v>68</v>
      </c>
      <c r="D1141">
        <v>2</v>
      </c>
      <c r="E1141" t="s">
        <v>513</v>
      </c>
    </row>
    <row r="1142" spans="1:5" x14ac:dyDescent="0.3">
      <c r="A1142">
        <v>350</v>
      </c>
      <c r="B1142" t="s">
        <v>78</v>
      </c>
      <c r="C1142" t="s">
        <v>37</v>
      </c>
      <c r="D1142">
        <v>1</v>
      </c>
      <c r="E1142" t="s">
        <v>94</v>
      </c>
    </row>
    <row r="1143" spans="1:5" x14ac:dyDescent="0.3">
      <c r="A1143">
        <v>350</v>
      </c>
      <c r="B1143" t="s">
        <v>76</v>
      </c>
      <c r="C1143" t="s">
        <v>68</v>
      </c>
      <c r="D1143">
        <v>2</v>
      </c>
      <c r="E1143" t="s">
        <v>457</v>
      </c>
    </row>
    <row r="1144" spans="1:5" x14ac:dyDescent="0.3">
      <c r="A1144">
        <v>351</v>
      </c>
      <c r="B1144" t="s">
        <v>4</v>
      </c>
      <c r="C1144" t="s">
        <v>36</v>
      </c>
      <c r="D1144">
        <v>0</v>
      </c>
      <c r="E1144" t="s">
        <v>94</v>
      </c>
    </row>
    <row r="1145" spans="1:5" x14ac:dyDescent="0.3">
      <c r="A1145">
        <v>352</v>
      </c>
      <c r="B1145" t="s">
        <v>80</v>
      </c>
      <c r="C1145" t="s">
        <v>68</v>
      </c>
      <c r="D1145">
        <v>1</v>
      </c>
      <c r="E1145" t="s">
        <v>530</v>
      </c>
    </row>
    <row r="1146" spans="1:5" x14ac:dyDescent="0.3">
      <c r="A1146">
        <v>352</v>
      </c>
      <c r="B1146" t="s">
        <v>76</v>
      </c>
      <c r="C1146" t="s">
        <v>68</v>
      </c>
      <c r="D1146">
        <v>1</v>
      </c>
      <c r="E1146" t="s">
        <v>269</v>
      </c>
    </row>
    <row r="1147" spans="1:5" x14ac:dyDescent="0.3">
      <c r="A1147">
        <v>352</v>
      </c>
      <c r="B1147" t="s">
        <v>33</v>
      </c>
      <c r="C1147" t="s">
        <v>68</v>
      </c>
      <c r="D1147">
        <v>1</v>
      </c>
      <c r="E1147" t="s">
        <v>269</v>
      </c>
    </row>
    <row r="1148" spans="1:5" x14ac:dyDescent="0.3">
      <c r="A1148">
        <v>352</v>
      </c>
      <c r="B1148" t="s">
        <v>78</v>
      </c>
      <c r="C1148" t="s">
        <v>37</v>
      </c>
      <c r="D1148">
        <v>0</v>
      </c>
      <c r="E1148" t="s">
        <v>400</v>
      </c>
    </row>
    <row r="1149" spans="1:5" x14ac:dyDescent="0.3">
      <c r="A1149">
        <v>355</v>
      </c>
      <c r="B1149" t="s">
        <v>78</v>
      </c>
      <c r="C1149" t="s">
        <v>37</v>
      </c>
      <c r="D1149">
        <v>1</v>
      </c>
      <c r="E1149" t="s">
        <v>94</v>
      </c>
    </row>
    <row r="1150" spans="1:5" x14ac:dyDescent="0.3">
      <c r="A1150">
        <v>356</v>
      </c>
      <c r="B1150" t="s">
        <v>76</v>
      </c>
      <c r="C1150" t="s">
        <v>68</v>
      </c>
      <c r="D1150">
        <v>1</v>
      </c>
      <c r="E1150" t="s">
        <v>524</v>
      </c>
    </row>
    <row r="1151" spans="1:5" x14ac:dyDescent="0.3">
      <c r="A1151">
        <v>356</v>
      </c>
      <c r="B1151" t="s">
        <v>6</v>
      </c>
      <c r="C1151" t="s">
        <v>36</v>
      </c>
      <c r="D1151">
        <v>107</v>
      </c>
      <c r="E1151" t="s">
        <v>531</v>
      </c>
    </row>
    <row r="1152" spans="1:5" x14ac:dyDescent="0.3">
      <c r="A1152">
        <v>356</v>
      </c>
      <c r="B1152" t="s">
        <v>78</v>
      </c>
      <c r="C1152" t="s">
        <v>37</v>
      </c>
      <c r="D1152">
        <v>1</v>
      </c>
      <c r="E1152" t="s">
        <v>421</v>
      </c>
    </row>
    <row r="1153" spans="1:5" x14ac:dyDescent="0.3">
      <c r="A1153">
        <v>356</v>
      </c>
      <c r="B1153" t="s">
        <v>74</v>
      </c>
      <c r="C1153" t="s">
        <v>65</v>
      </c>
      <c r="D1153">
        <v>1</v>
      </c>
      <c r="E1153" t="s">
        <v>513</v>
      </c>
    </row>
    <row r="1154" spans="1:5" x14ac:dyDescent="0.3">
      <c r="A1154">
        <v>356</v>
      </c>
      <c r="B1154" t="s">
        <v>34</v>
      </c>
      <c r="C1154" t="s">
        <v>68</v>
      </c>
      <c r="D1154">
        <v>0</v>
      </c>
      <c r="E1154" t="s">
        <v>217</v>
      </c>
    </row>
    <row r="1155" spans="1:5" x14ac:dyDescent="0.3">
      <c r="A1155">
        <v>356</v>
      </c>
      <c r="B1155" t="s">
        <v>33</v>
      </c>
      <c r="C1155" t="s">
        <v>68</v>
      </c>
      <c r="D1155">
        <v>1</v>
      </c>
      <c r="E1155" t="s">
        <v>524</v>
      </c>
    </row>
    <row r="1156" spans="1:5" x14ac:dyDescent="0.3">
      <c r="A1156">
        <v>356</v>
      </c>
      <c r="B1156" t="s">
        <v>7</v>
      </c>
      <c r="C1156" t="s">
        <v>36</v>
      </c>
      <c r="D1156">
        <v>108</v>
      </c>
      <c r="E1156" t="s">
        <v>457</v>
      </c>
    </row>
    <row r="1157" spans="1:5" x14ac:dyDescent="0.3">
      <c r="A1157">
        <v>356</v>
      </c>
      <c r="B1157" t="s">
        <v>11</v>
      </c>
      <c r="C1157" t="s">
        <v>37</v>
      </c>
      <c r="D1157">
        <v>7889227</v>
      </c>
      <c r="E1157" t="s">
        <v>513</v>
      </c>
    </row>
    <row r="1158" spans="1:5" x14ac:dyDescent="0.3">
      <c r="A1158">
        <v>357</v>
      </c>
      <c r="B1158" t="s">
        <v>9</v>
      </c>
      <c r="C1158" t="s">
        <v>37</v>
      </c>
      <c r="D1158">
        <v>19</v>
      </c>
      <c r="E1158" t="s">
        <v>403</v>
      </c>
    </row>
    <row r="1159" spans="1:5" x14ac:dyDescent="0.3">
      <c r="A1159">
        <v>357</v>
      </c>
      <c r="B1159" t="s">
        <v>78</v>
      </c>
      <c r="C1159" t="s">
        <v>37</v>
      </c>
      <c r="D1159">
        <v>1</v>
      </c>
      <c r="E1159" t="s">
        <v>400</v>
      </c>
    </row>
    <row r="1160" spans="1:5" x14ac:dyDescent="0.3">
      <c r="A1160">
        <v>357</v>
      </c>
      <c r="B1160" t="s">
        <v>12</v>
      </c>
      <c r="C1160" t="s">
        <v>37</v>
      </c>
      <c r="D1160">
        <v>10</v>
      </c>
      <c r="E1160" t="s">
        <v>526</v>
      </c>
    </row>
    <row r="1161" spans="1:5" x14ac:dyDescent="0.3">
      <c r="A1161">
        <v>358</v>
      </c>
      <c r="B1161" t="s">
        <v>4</v>
      </c>
      <c r="C1161" t="s">
        <v>36</v>
      </c>
      <c r="D1161">
        <v>0</v>
      </c>
      <c r="E1161" t="s">
        <v>524</v>
      </c>
    </row>
    <row r="1162" spans="1:5" x14ac:dyDescent="0.3">
      <c r="A1162">
        <v>359</v>
      </c>
      <c r="B1162" t="s">
        <v>78</v>
      </c>
      <c r="C1162" t="s">
        <v>37</v>
      </c>
      <c r="D1162">
        <v>1</v>
      </c>
      <c r="E1162" t="s">
        <v>217</v>
      </c>
    </row>
    <row r="1163" spans="1:5" x14ac:dyDescent="0.3">
      <c r="A1163">
        <v>360</v>
      </c>
      <c r="B1163" t="s">
        <v>7</v>
      </c>
      <c r="C1163" t="s">
        <v>36</v>
      </c>
      <c r="D1163">
        <v>218</v>
      </c>
      <c r="E1163" t="s">
        <v>94</v>
      </c>
    </row>
    <row r="1164" spans="1:5" x14ac:dyDescent="0.3">
      <c r="A1164">
        <v>360</v>
      </c>
      <c r="B1164" t="s">
        <v>17</v>
      </c>
      <c r="C1164" t="s">
        <v>37</v>
      </c>
      <c r="D1164">
        <v>0</v>
      </c>
      <c r="E1164" t="s">
        <v>524</v>
      </c>
    </row>
    <row r="1165" spans="1:5" x14ac:dyDescent="0.3">
      <c r="A1165">
        <v>360</v>
      </c>
      <c r="B1165" t="s">
        <v>78</v>
      </c>
      <c r="C1165" t="s">
        <v>37</v>
      </c>
      <c r="D1165">
        <v>1</v>
      </c>
      <c r="E1165" t="s">
        <v>524</v>
      </c>
    </row>
    <row r="1166" spans="1:5" x14ac:dyDescent="0.3">
      <c r="A1166">
        <v>361</v>
      </c>
      <c r="B1166" t="s">
        <v>12</v>
      </c>
      <c r="C1166" t="s">
        <v>37</v>
      </c>
      <c r="D1166">
        <v>1</v>
      </c>
      <c r="E1166" t="s">
        <v>393</v>
      </c>
    </row>
    <row r="1167" spans="1:5" x14ac:dyDescent="0.3">
      <c r="A1167">
        <v>361</v>
      </c>
      <c r="B1167" t="s">
        <v>28</v>
      </c>
      <c r="C1167" t="s">
        <v>68</v>
      </c>
      <c r="D1167">
        <v>0</v>
      </c>
      <c r="E1167" t="s">
        <v>94</v>
      </c>
    </row>
    <row r="1168" spans="1:5" x14ac:dyDescent="0.3">
      <c r="A1168">
        <v>361</v>
      </c>
      <c r="B1168" t="s">
        <v>29</v>
      </c>
      <c r="C1168" t="s">
        <v>68</v>
      </c>
      <c r="D1168">
        <v>0</v>
      </c>
      <c r="E1168" t="s">
        <v>524</v>
      </c>
    </row>
    <row r="1169" spans="1:5" x14ac:dyDescent="0.3">
      <c r="A1169">
        <v>361</v>
      </c>
      <c r="B1169" t="s">
        <v>78</v>
      </c>
      <c r="C1169" t="s">
        <v>37</v>
      </c>
      <c r="D1169">
        <v>0</v>
      </c>
      <c r="E1169" t="s">
        <v>513</v>
      </c>
    </row>
    <row r="1170" spans="1:5" x14ac:dyDescent="0.3">
      <c r="A1170">
        <v>361</v>
      </c>
      <c r="B1170" t="s">
        <v>76</v>
      </c>
      <c r="C1170" t="s">
        <v>68</v>
      </c>
      <c r="D1170">
        <v>0</v>
      </c>
      <c r="E1170" t="s">
        <v>524</v>
      </c>
    </row>
    <row r="1171" spans="1:5" x14ac:dyDescent="0.3">
      <c r="A1171">
        <v>362</v>
      </c>
      <c r="B1171" t="s">
        <v>78</v>
      </c>
      <c r="C1171" t="s">
        <v>37</v>
      </c>
      <c r="D1171">
        <v>1</v>
      </c>
      <c r="E1171" t="s">
        <v>365</v>
      </c>
    </row>
    <row r="1172" spans="1:5" x14ac:dyDescent="0.3">
      <c r="A1172">
        <v>362</v>
      </c>
      <c r="B1172" t="s">
        <v>76</v>
      </c>
      <c r="C1172" t="s">
        <v>68</v>
      </c>
      <c r="D1172">
        <v>1</v>
      </c>
      <c r="E1172" t="s">
        <v>524</v>
      </c>
    </row>
    <row r="1173" spans="1:5" x14ac:dyDescent="0.3">
      <c r="A1173">
        <v>362</v>
      </c>
      <c r="B1173" t="s">
        <v>33</v>
      </c>
      <c r="C1173" t="s">
        <v>68</v>
      </c>
      <c r="D1173">
        <v>0</v>
      </c>
      <c r="E1173" t="s">
        <v>524</v>
      </c>
    </row>
    <row r="1174" spans="1:5" x14ac:dyDescent="0.3">
      <c r="A1174">
        <v>363</v>
      </c>
      <c r="B1174" t="s">
        <v>78</v>
      </c>
      <c r="C1174" t="s">
        <v>37</v>
      </c>
      <c r="D1174">
        <v>1</v>
      </c>
      <c r="E1174" t="s">
        <v>524</v>
      </c>
    </row>
    <row r="1175" spans="1:5" x14ac:dyDescent="0.3">
      <c r="A1175">
        <v>363</v>
      </c>
      <c r="B1175" t="s">
        <v>29</v>
      </c>
      <c r="C1175" t="s">
        <v>68</v>
      </c>
      <c r="D1175">
        <v>0</v>
      </c>
      <c r="E1175" t="s">
        <v>524</v>
      </c>
    </row>
    <row r="1176" spans="1:5" x14ac:dyDescent="0.3">
      <c r="A1176">
        <v>364</v>
      </c>
      <c r="B1176" t="s">
        <v>78</v>
      </c>
      <c r="C1176" t="s">
        <v>37</v>
      </c>
      <c r="D1176">
        <v>1</v>
      </c>
      <c r="E1176" t="s">
        <v>532</v>
      </c>
    </row>
    <row r="1177" spans="1:5" x14ac:dyDescent="0.3">
      <c r="A1177">
        <v>365</v>
      </c>
      <c r="B1177" t="s">
        <v>4</v>
      </c>
      <c r="C1177" t="s">
        <v>36</v>
      </c>
      <c r="D1177">
        <v>0</v>
      </c>
      <c r="E1177" t="s">
        <v>453</v>
      </c>
    </row>
    <row r="1178" spans="1:5" x14ac:dyDescent="0.3">
      <c r="A1178">
        <v>365</v>
      </c>
      <c r="B1178" t="s">
        <v>38</v>
      </c>
      <c r="C1178" t="s">
        <v>68</v>
      </c>
      <c r="D1178">
        <v>13</v>
      </c>
      <c r="E1178" t="s">
        <v>509</v>
      </c>
    </row>
    <row r="1179" spans="1:5" x14ac:dyDescent="0.3">
      <c r="A1179">
        <v>365</v>
      </c>
      <c r="B1179" t="s">
        <v>78</v>
      </c>
      <c r="C1179" t="s">
        <v>37</v>
      </c>
      <c r="D1179">
        <v>3</v>
      </c>
      <c r="E1179" t="s">
        <v>457</v>
      </c>
    </row>
    <row r="1180" spans="1:5" x14ac:dyDescent="0.3">
      <c r="A1180">
        <v>366</v>
      </c>
      <c r="B1180" t="s">
        <v>6</v>
      </c>
      <c r="C1180" t="s">
        <v>36</v>
      </c>
      <c r="D1180">
        <v>31</v>
      </c>
      <c r="E1180" t="s">
        <v>377</v>
      </c>
    </row>
    <row r="1181" spans="1:5" x14ac:dyDescent="0.3">
      <c r="A1181">
        <v>366</v>
      </c>
      <c r="B1181" t="s">
        <v>7</v>
      </c>
      <c r="C1181" t="s">
        <v>36</v>
      </c>
      <c r="D1181">
        <v>31</v>
      </c>
      <c r="E1181" t="s">
        <v>521</v>
      </c>
    </row>
    <row r="1182" spans="1:5" x14ac:dyDescent="0.3">
      <c r="A1182">
        <v>366</v>
      </c>
      <c r="B1182" t="s">
        <v>33</v>
      </c>
      <c r="C1182" t="s">
        <v>68</v>
      </c>
      <c r="D1182">
        <v>1</v>
      </c>
      <c r="E1182" t="s">
        <v>335</v>
      </c>
    </row>
    <row r="1183" spans="1:5" x14ac:dyDescent="0.3">
      <c r="A1183">
        <v>366</v>
      </c>
      <c r="B1183" t="s">
        <v>76</v>
      </c>
      <c r="C1183" t="s">
        <v>68</v>
      </c>
      <c r="D1183">
        <v>1</v>
      </c>
      <c r="E1183" t="s">
        <v>335</v>
      </c>
    </row>
    <row r="1184" spans="1:5" x14ac:dyDescent="0.3">
      <c r="A1184">
        <v>367</v>
      </c>
      <c r="B1184" t="s">
        <v>76</v>
      </c>
      <c r="C1184" t="s">
        <v>68</v>
      </c>
      <c r="D1184">
        <v>1</v>
      </c>
      <c r="E1184" t="s">
        <v>335</v>
      </c>
    </row>
    <row r="1185" spans="1:5" x14ac:dyDescent="0.3">
      <c r="A1185">
        <v>367</v>
      </c>
      <c r="B1185" t="s">
        <v>78</v>
      </c>
      <c r="C1185" t="s">
        <v>37</v>
      </c>
      <c r="D1185">
        <v>1</v>
      </c>
      <c r="E1185" t="s">
        <v>455</v>
      </c>
    </row>
    <row r="1186" spans="1:5" x14ac:dyDescent="0.3">
      <c r="A1186">
        <v>368</v>
      </c>
      <c r="B1186" t="s">
        <v>5</v>
      </c>
      <c r="C1186" t="s">
        <v>36</v>
      </c>
      <c r="D1186">
        <v>0</v>
      </c>
      <c r="E1186" t="s">
        <v>94</v>
      </c>
    </row>
    <row r="1187" spans="1:5" x14ac:dyDescent="0.3">
      <c r="A1187">
        <v>368</v>
      </c>
      <c r="B1187" t="s">
        <v>78</v>
      </c>
      <c r="C1187" t="s">
        <v>37</v>
      </c>
      <c r="D1187">
        <v>1</v>
      </c>
      <c r="E1187" t="s">
        <v>400</v>
      </c>
    </row>
    <row r="1188" spans="1:5" x14ac:dyDescent="0.3">
      <c r="A1188">
        <v>369</v>
      </c>
      <c r="B1188" t="s">
        <v>12</v>
      </c>
      <c r="C1188" t="s">
        <v>37</v>
      </c>
      <c r="D1188">
        <v>0</v>
      </c>
      <c r="E1188" t="s">
        <v>447</v>
      </c>
    </row>
    <row r="1189" spans="1:5" x14ac:dyDescent="0.3">
      <c r="A1189">
        <v>369</v>
      </c>
      <c r="B1189" t="s">
        <v>33</v>
      </c>
      <c r="C1189" t="s">
        <v>68</v>
      </c>
      <c r="D1189">
        <v>1</v>
      </c>
      <c r="E1189" t="s">
        <v>453</v>
      </c>
    </row>
    <row r="1190" spans="1:5" x14ac:dyDescent="0.3">
      <c r="A1190">
        <v>369</v>
      </c>
      <c r="B1190" t="s">
        <v>77</v>
      </c>
      <c r="C1190" t="s">
        <v>65</v>
      </c>
      <c r="D1190">
        <v>0</v>
      </c>
      <c r="E1190" t="s">
        <v>365</v>
      </c>
    </row>
    <row r="1191" spans="1:5" x14ac:dyDescent="0.3">
      <c r="A1191">
        <v>369</v>
      </c>
      <c r="B1191" t="s">
        <v>76</v>
      </c>
      <c r="C1191" t="s">
        <v>68</v>
      </c>
      <c r="D1191">
        <v>2</v>
      </c>
      <c r="E1191" t="s">
        <v>375</v>
      </c>
    </row>
    <row r="1192" spans="1:5" x14ac:dyDescent="0.3">
      <c r="A1192">
        <v>370</v>
      </c>
      <c r="B1192" t="s">
        <v>4</v>
      </c>
      <c r="C1192" t="s">
        <v>36</v>
      </c>
      <c r="D1192">
        <v>1</v>
      </c>
      <c r="E1192" t="s">
        <v>524</v>
      </c>
    </row>
    <row r="1193" spans="1:5" x14ac:dyDescent="0.3">
      <c r="A1193">
        <v>370</v>
      </c>
      <c r="B1193" t="s">
        <v>5</v>
      </c>
      <c r="C1193" t="s">
        <v>36</v>
      </c>
      <c r="D1193">
        <v>0</v>
      </c>
      <c r="E1193" t="s">
        <v>524</v>
      </c>
    </row>
    <row r="1194" spans="1:5" x14ac:dyDescent="0.3">
      <c r="A1194">
        <v>371</v>
      </c>
      <c r="B1194" t="s">
        <v>17</v>
      </c>
      <c r="C1194" t="s">
        <v>37</v>
      </c>
      <c r="D1194">
        <v>1</v>
      </c>
      <c r="E1194" t="s">
        <v>524</v>
      </c>
    </row>
    <row r="1195" spans="1:5" x14ac:dyDescent="0.3">
      <c r="A1195">
        <v>371</v>
      </c>
      <c r="B1195" t="s">
        <v>74</v>
      </c>
      <c r="C1195" t="s">
        <v>65</v>
      </c>
      <c r="D1195">
        <v>1</v>
      </c>
      <c r="E1195" t="s">
        <v>535</v>
      </c>
    </row>
    <row r="1196" spans="1:5" x14ac:dyDescent="0.3">
      <c r="A1196">
        <v>371</v>
      </c>
      <c r="B1196" t="s">
        <v>7</v>
      </c>
      <c r="C1196" t="s">
        <v>36</v>
      </c>
      <c r="D1196">
        <v>86</v>
      </c>
      <c r="E1196" t="s">
        <v>536</v>
      </c>
    </row>
    <row r="1197" spans="1:5" x14ac:dyDescent="0.3">
      <c r="A1197">
        <v>371</v>
      </c>
      <c r="B1197" t="s">
        <v>6</v>
      </c>
      <c r="C1197" t="s">
        <v>36</v>
      </c>
      <c r="D1197">
        <v>11</v>
      </c>
      <c r="E1197" t="s">
        <v>533</v>
      </c>
    </row>
    <row r="1198" spans="1:5" x14ac:dyDescent="0.3">
      <c r="A1198">
        <v>371</v>
      </c>
      <c r="B1198" t="s">
        <v>78</v>
      </c>
      <c r="C1198" t="s">
        <v>37</v>
      </c>
      <c r="D1198">
        <v>1</v>
      </c>
      <c r="E1198" t="s">
        <v>534</v>
      </c>
    </row>
    <row r="1199" spans="1:5" x14ac:dyDescent="0.3">
      <c r="A1199">
        <v>372</v>
      </c>
      <c r="B1199" t="s">
        <v>7</v>
      </c>
      <c r="C1199" t="s">
        <v>36</v>
      </c>
      <c r="D1199">
        <v>29</v>
      </c>
      <c r="E1199" t="s">
        <v>537</v>
      </c>
    </row>
    <row r="1200" spans="1:5" x14ac:dyDescent="0.3">
      <c r="A1200">
        <v>372</v>
      </c>
      <c r="B1200" t="s">
        <v>4</v>
      </c>
      <c r="C1200" t="s">
        <v>36</v>
      </c>
      <c r="D1200">
        <v>0</v>
      </c>
      <c r="E1200" t="s">
        <v>94</v>
      </c>
    </row>
    <row r="1201" spans="1:5" x14ac:dyDescent="0.3">
      <c r="A1201">
        <v>372</v>
      </c>
      <c r="B1201" t="s">
        <v>5</v>
      </c>
      <c r="C1201" t="s">
        <v>36</v>
      </c>
      <c r="D1201">
        <v>0</v>
      </c>
      <c r="E1201" t="s">
        <v>94</v>
      </c>
    </row>
    <row r="1202" spans="1:5" x14ac:dyDescent="0.3">
      <c r="A1202">
        <v>372</v>
      </c>
      <c r="B1202" t="s">
        <v>17</v>
      </c>
      <c r="C1202" t="s">
        <v>37</v>
      </c>
      <c r="D1202">
        <v>0</v>
      </c>
      <c r="E1202" t="s">
        <v>538</v>
      </c>
    </row>
    <row r="1203" spans="1:5" x14ac:dyDescent="0.3">
      <c r="A1203">
        <v>372</v>
      </c>
      <c r="B1203" t="s">
        <v>78</v>
      </c>
      <c r="C1203" t="s">
        <v>37</v>
      </c>
      <c r="D1203">
        <v>1</v>
      </c>
      <c r="E1203" t="s">
        <v>539</v>
      </c>
    </row>
    <row r="1204" spans="1:5" x14ac:dyDescent="0.3">
      <c r="A1204">
        <v>373</v>
      </c>
      <c r="B1204" t="s">
        <v>11</v>
      </c>
      <c r="C1204" t="s">
        <v>37</v>
      </c>
      <c r="D1204">
        <v>3</v>
      </c>
      <c r="E1204" t="s">
        <v>400</v>
      </c>
    </row>
    <row r="1205" spans="1:5" x14ac:dyDescent="0.3">
      <c r="A1205">
        <v>373</v>
      </c>
      <c r="B1205" t="s">
        <v>78</v>
      </c>
      <c r="C1205" t="s">
        <v>37</v>
      </c>
      <c r="D1205">
        <v>1</v>
      </c>
      <c r="E1205" t="s">
        <v>540</v>
      </c>
    </row>
    <row r="1206" spans="1:5" x14ac:dyDescent="0.3">
      <c r="A1206">
        <v>374</v>
      </c>
      <c r="B1206" t="s">
        <v>9</v>
      </c>
      <c r="C1206" t="s">
        <v>37</v>
      </c>
      <c r="D1206">
        <v>3</v>
      </c>
      <c r="E1206" t="s">
        <v>541</v>
      </c>
    </row>
    <row r="1207" spans="1:5" x14ac:dyDescent="0.3">
      <c r="A1207">
        <v>374</v>
      </c>
      <c r="B1207" t="s">
        <v>7</v>
      </c>
      <c r="C1207" t="s">
        <v>36</v>
      </c>
      <c r="D1207">
        <v>30</v>
      </c>
      <c r="E1207" t="s">
        <v>542</v>
      </c>
    </row>
    <row r="1208" spans="1:5" x14ac:dyDescent="0.3">
      <c r="A1208">
        <v>376</v>
      </c>
      <c r="B1208" t="s">
        <v>5</v>
      </c>
      <c r="C1208" t="s">
        <v>36</v>
      </c>
      <c r="D1208">
        <v>0</v>
      </c>
      <c r="E1208" t="s">
        <v>457</v>
      </c>
    </row>
    <row r="1209" spans="1:5" x14ac:dyDescent="0.3">
      <c r="A1209">
        <v>376</v>
      </c>
      <c r="B1209" t="s">
        <v>34</v>
      </c>
      <c r="C1209" t="s">
        <v>68</v>
      </c>
      <c r="D1209">
        <v>0</v>
      </c>
      <c r="E1209" t="s">
        <v>524</v>
      </c>
    </row>
    <row r="1210" spans="1:5" x14ac:dyDescent="0.3">
      <c r="A1210">
        <v>377</v>
      </c>
      <c r="B1210" t="s">
        <v>78</v>
      </c>
      <c r="C1210" t="s">
        <v>37</v>
      </c>
      <c r="D1210">
        <v>1</v>
      </c>
      <c r="E1210" t="s">
        <v>360</v>
      </c>
    </row>
    <row r="1211" spans="1:5" x14ac:dyDescent="0.3">
      <c r="A1211">
        <v>377</v>
      </c>
      <c r="B1211" t="s">
        <v>7</v>
      </c>
      <c r="C1211" t="s">
        <v>36</v>
      </c>
      <c r="D1211">
        <v>4</v>
      </c>
      <c r="E1211" t="s">
        <v>543</v>
      </c>
    </row>
    <row r="1212" spans="1:5" x14ac:dyDescent="0.3">
      <c r="A1212">
        <v>378</v>
      </c>
      <c r="B1212" t="s">
        <v>5</v>
      </c>
      <c r="C1212" t="s">
        <v>36</v>
      </c>
      <c r="D1212">
        <v>1</v>
      </c>
      <c r="E1212" t="s">
        <v>544</v>
      </c>
    </row>
    <row r="1213" spans="1:5" x14ac:dyDescent="0.3">
      <c r="A1213">
        <v>378</v>
      </c>
      <c r="B1213" t="s">
        <v>21</v>
      </c>
      <c r="C1213" t="s">
        <v>65</v>
      </c>
      <c r="D1213">
        <v>1</v>
      </c>
      <c r="E1213" t="s">
        <v>94</v>
      </c>
    </row>
    <row r="1214" spans="1:5" x14ac:dyDescent="0.3">
      <c r="A1214">
        <v>378</v>
      </c>
      <c r="B1214" t="s">
        <v>75</v>
      </c>
      <c r="C1214" t="s">
        <v>65</v>
      </c>
      <c r="D1214">
        <v>5</v>
      </c>
      <c r="E1214" t="s">
        <v>94</v>
      </c>
    </row>
    <row r="1215" spans="1:5" x14ac:dyDescent="0.3">
      <c r="A1215">
        <v>378</v>
      </c>
      <c r="B1215" t="s">
        <v>32</v>
      </c>
      <c r="C1215" t="s">
        <v>68</v>
      </c>
      <c r="D1215">
        <v>1</v>
      </c>
      <c r="E1215" t="s">
        <v>545</v>
      </c>
    </row>
    <row r="1216" spans="1:5" x14ac:dyDescent="0.3">
      <c r="A1216">
        <v>378</v>
      </c>
      <c r="B1216" t="s">
        <v>33</v>
      </c>
      <c r="C1216" t="s">
        <v>68</v>
      </c>
      <c r="D1216">
        <v>1</v>
      </c>
      <c r="E1216" t="s">
        <v>335</v>
      </c>
    </row>
    <row r="1217" spans="1:5" x14ac:dyDescent="0.3">
      <c r="A1217">
        <v>378</v>
      </c>
      <c r="B1217" t="s">
        <v>74</v>
      </c>
      <c r="C1217" t="s">
        <v>65</v>
      </c>
      <c r="D1217">
        <v>1</v>
      </c>
      <c r="E1217" t="s">
        <v>217</v>
      </c>
    </row>
    <row r="1218" spans="1:5" x14ac:dyDescent="0.3">
      <c r="A1218">
        <v>379</v>
      </c>
      <c r="B1218" t="s">
        <v>4</v>
      </c>
      <c r="C1218" t="s">
        <v>36</v>
      </c>
      <c r="D1218">
        <v>0</v>
      </c>
      <c r="E1218" t="s">
        <v>546</v>
      </c>
    </row>
    <row r="1219" spans="1:5" x14ac:dyDescent="0.3">
      <c r="A1219">
        <v>379</v>
      </c>
      <c r="B1219" t="s">
        <v>5</v>
      </c>
      <c r="C1219" t="s">
        <v>36</v>
      </c>
      <c r="D1219">
        <v>1</v>
      </c>
      <c r="E1219" t="s">
        <v>547</v>
      </c>
    </row>
    <row r="1220" spans="1:5" x14ac:dyDescent="0.3">
      <c r="A1220">
        <v>379</v>
      </c>
      <c r="B1220" t="s">
        <v>10</v>
      </c>
      <c r="C1220" t="s">
        <v>37</v>
      </c>
      <c r="D1220">
        <v>6</v>
      </c>
      <c r="E1220" t="s">
        <v>217</v>
      </c>
    </row>
    <row r="1221" spans="1:5" x14ac:dyDescent="0.3">
      <c r="A1221">
        <v>380</v>
      </c>
      <c r="B1221" t="s">
        <v>7</v>
      </c>
      <c r="C1221" t="s">
        <v>36</v>
      </c>
      <c r="D1221">
        <v>41</v>
      </c>
      <c r="E1221" t="s">
        <v>217</v>
      </c>
    </row>
    <row r="1222" spans="1:5" x14ac:dyDescent="0.3">
      <c r="A1222">
        <v>381</v>
      </c>
      <c r="B1222" t="s">
        <v>17</v>
      </c>
      <c r="C1222" t="s">
        <v>37</v>
      </c>
      <c r="D1222">
        <v>0</v>
      </c>
      <c r="E1222" t="s">
        <v>524</v>
      </c>
    </row>
    <row r="1223" spans="1:5" x14ac:dyDescent="0.3">
      <c r="A1223">
        <v>382</v>
      </c>
      <c r="B1223" t="s">
        <v>4</v>
      </c>
      <c r="C1223" t="s">
        <v>36</v>
      </c>
      <c r="D1223">
        <v>0</v>
      </c>
      <c r="E1223" t="s">
        <v>447</v>
      </c>
    </row>
    <row r="1224" spans="1:5" x14ac:dyDescent="0.3">
      <c r="A1224">
        <v>383</v>
      </c>
      <c r="B1224" t="s">
        <v>4</v>
      </c>
      <c r="C1224" t="s">
        <v>36</v>
      </c>
      <c r="D1224">
        <v>0</v>
      </c>
      <c r="E1224" t="s">
        <v>548</v>
      </c>
    </row>
    <row r="1225" spans="1:5" x14ac:dyDescent="0.3">
      <c r="A1225">
        <v>384</v>
      </c>
      <c r="B1225" t="s">
        <v>7</v>
      </c>
      <c r="C1225" t="s">
        <v>36</v>
      </c>
      <c r="D1225">
        <v>72</v>
      </c>
      <c r="E1225" t="s">
        <v>217</v>
      </c>
    </row>
    <row r="1226" spans="1:5" x14ac:dyDescent="0.3">
      <c r="A1226">
        <v>384</v>
      </c>
      <c r="B1226" t="s">
        <v>17</v>
      </c>
      <c r="C1226" t="s">
        <v>37</v>
      </c>
      <c r="D1226">
        <v>0</v>
      </c>
      <c r="E1226" t="s">
        <v>549</v>
      </c>
    </row>
    <row r="1227" spans="1:5" x14ac:dyDescent="0.3">
      <c r="A1227">
        <v>386</v>
      </c>
      <c r="B1227" t="s">
        <v>78</v>
      </c>
      <c r="C1227" t="s">
        <v>37</v>
      </c>
      <c r="D1227">
        <v>1</v>
      </c>
      <c r="E1227" t="s">
        <v>524</v>
      </c>
    </row>
    <row r="1228" spans="1:5" x14ac:dyDescent="0.3">
      <c r="A1228">
        <v>387</v>
      </c>
      <c r="B1228" t="s">
        <v>33</v>
      </c>
      <c r="C1228" t="s">
        <v>68</v>
      </c>
      <c r="D1228">
        <v>7</v>
      </c>
      <c r="E1228" t="s">
        <v>550</v>
      </c>
    </row>
    <row r="1229" spans="1:5" x14ac:dyDescent="0.3">
      <c r="A1229">
        <v>388</v>
      </c>
      <c r="B1229" t="s">
        <v>19</v>
      </c>
      <c r="C1229" t="s">
        <v>65</v>
      </c>
      <c r="D1229">
        <v>25</v>
      </c>
      <c r="E1229" t="s">
        <v>94</v>
      </c>
    </row>
    <row r="1230" spans="1:5" x14ac:dyDescent="0.3">
      <c r="A1230">
        <v>388</v>
      </c>
      <c r="B1230" t="s">
        <v>12</v>
      </c>
      <c r="C1230" t="s">
        <v>37</v>
      </c>
      <c r="D1230">
        <v>9</v>
      </c>
      <c r="E1230" t="s">
        <v>524</v>
      </c>
    </row>
    <row r="1231" spans="1:5" x14ac:dyDescent="0.3">
      <c r="A1231">
        <v>388</v>
      </c>
      <c r="B1231" t="s">
        <v>14</v>
      </c>
      <c r="C1231" t="s">
        <v>37</v>
      </c>
      <c r="D1231">
        <v>2</v>
      </c>
      <c r="E1231" t="s">
        <v>94</v>
      </c>
    </row>
    <row r="1232" spans="1:5" x14ac:dyDescent="0.3">
      <c r="A1232">
        <v>389</v>
      </c>
      <c r="B1232" t="s">
        <v>10</v>
      </c>
      <c r="C1232" t="s">
        <v>37</v>
      </c>
      <c r="D1232">
        <v>7</v>
      </c>
      <c r="E1232" t="s">
        <v>457</v>
      </c>
    </row>
    <row r="1233" spans="1:5" x14ac:dyDescent="0.3">
      <c r="A1233">
        <v>389</v>
      </c>
      <c r="B1233" t="s">
        <v>78</v>
      </c>
      <c r="C1233" t="s">
        <v>37</v>
      </c>
      <c r="D1233">
        <v>1</v>
      </c>
      <c r="E1233" t="s">
        <v>513</v>
      </c>
    </row>
    <row r="1234" spans="1:5" x14ac:dyDescent="0.3">
      <c r="A1234">
        <v>389</v>
      </c>
      <c r="B1234" t="s">
        <v>77</v>
      </c>
      <c r="C1234" t="s">
        <v>65</v>
      </c>
      <c r="D1234">
        <v>846</v>
      </c>
      <c r="E1234" t="s">
        <v>140</v>
      </c>
    </row>
    <row r="1235" spans="1:5" x14ac:dyDescent="0.3">
      <c r="A1235">
        <v>390</v>
      </c>
      <c r="B1235" t="s">
        <v>4</v>
      </c>
      <c r="C1235" t="s">
        <v>36</v>
      </c>
      <c r="D1235">
        <v>0</v>
      </c>
      <c r="E1235" t="s">
        <v>524</v>
      </c>
    </row>
    <row r="1236" spans="1:5" x14ac:dyDescent="0.3">
      <c r="A1236">
        <v>392</v>
      </c>
      <c r="B1236" t="s">
        <v>76</v>
      </c>
      <c r="C1236" t="s">
        <v>68</v>
      </c>
      <c r="D1236">
        <v>1</v>
      </c>
      <c r="E1236" t="s">
        <v>551</v>
      </c>
    </row>
    <row r="1237" spans="1:5" x14ac:dyDescent="0.3">
      <c r="A1237">
        <v>392</v>
      </c>
      <c r="B1237" t="s">
        <v>12</v>
      </c>
      <c r="C1237" t="s">
        <v>37</v>
      </c>
      <c r="D1237">
        <v>0</v>
      </c>
      <c r="E1237" t="s">
        <v>400</v>
      </c>
    </row>
    <row r="1238" spans="1:5" x14ac:dyDescent="0.3">
      <c r="A1238">
        <v>393</v>
      </c>
      <c r="B1238" t="s">
        <v>12</v>
      </c>
      <c r="C1238" t="s">
        <v>37</v>
      </c>
      <c r="D1238">
        <v>62</v>
      </c>
      <c r="E1238" t="s">
        <v>137</v>
      </c>
    </row>
    <row r="1239" spans="1:5" x14ac:dyDescent="0.3">
      <c r="A1239">
        <v>394</v>
      </c>
      <c r="B1239" t="s">
        <v>33</v>
      </c>
      <c r="C1239" t="s">
        <v>68</v>
      </c>
      <c r="D1239">
        <v>1</v>
      </c>
      <c r="E1239" t="s">
        <v>524</v>
      </c>
    </row>
    <row r="1240" spans="1:5" x14ac:dyDescent="0.3">
      <c r="A1240">
        <v>394</v>
      </c>
      <c r="B1240" t="s">
        <v>28</v>
      </c>
      <c r="C1240" t="s">
        <v>68</v>
      </c>
      <c r="D1240">
        <v>1</v>
      </c>
      <c r="E1240" t="s">
        <v>513</v>
      </c>
    </row>
    <row r="1241" spans="1:5" x14ac:dyDescent="0.3">
      <c r="A1241">
        <v>397</v>
      </c>
      <c r="B1241" t="s">
        <v>29</v>
      </c>
      <c r="C1241" t="s">
        <v>68</v>
      </c>
      <c r="D1241">
        <v>0</v>
      </c>
      <c r="E1241" t="s">
        <v>457</v>
      </c>
    </row>
    <row r="1242" spans="1:5" x14ac:dyDescent="0.3">
      <c r="A1242">
        <v>397</v>
      </c>
      <c r="B1242" t="s">
        <v>76</v>
      </c>
      <c r="C1242" t="s">
        <v>68</v>
      </c>
      <c r="D1242">
        <v>1</v>
      </c>
      <c r="E1242" t="s">
        <v>457</v>
      </c>
    </row>
    <row r="1243" spans="1:5" x14ac:dyDescent="0.3">
      <c r="A1243">
        <v>397</v>
      </c>
      <c r="B1243" t="s">
        <v>33</v>
      </c>
      <c r="C1243" t="s">
        <v>68</v>
      </c>
      <c r="D1243">
        <v>1</v>
      </c>
      <c r="E1243" t="s">
        <v>457</v>
      </c>
    </row>
    <row r="1244" spans="1:5" x14ac:dyDescent="0.3">
      <c r="A1244">
        <v>399</v>
      </c>
      <c r="B1244" t="s">
        <v>78</v>
      </c>
      <c r="C1244" t="s">
        <v>37</v>
      </c>
      <c r="D1244">
        <v>1</v>
      </c>
      <c r="E1244" t="s">
        <v>217</v>
      </c>
    </row>
    <row r="1245" spans="1:5" x14ac:dyDescent="0.3">
      <c r="A1245">
        <v>401</v>
      </c>
      <c r="B1245" t="s">
        <v>4</v>
      </c>
      <c r="C1245" t="s">
        <v>36</v>
      </c>
      <c r="D1245">
        <v>0</v>
      </c>
      <c r="E1245" t="s">
        <v>524</v>
      </c>
    </row>
    <row r="1246" spans="1:5" x14ac:dyDescent="0.3">
      <c r="A1246">
        <v>401</v>
      </c>
      <c r="B1246" t="s">
        <v>24</v>
      </c>
      <c r="C1246" t="s">
        <v>84</v>
      </c>
      <c r="D1246">
        <v>7</v>
      </c>
      <c r="E1246" t="s">
        <v>94</v>
      </c>
    </row>
    <row r="1247" spans="1:5" x14ac:dyDescent="0.3">
      <c r="A1247">
        <v>401</v>
      </c>
      <c r="B1247" t="s">
        <v>77</v>
      </c>
      <c r="C1247" t="s">
        <v>65</v>
      </c>
      <c r="D1247">
        <v>0</v>
      </c>
      <c r="E1247" t="s">
        <v>269</v>
      </c>
    </row>
    <row r="1248" spans="1:5" x14ac:dyDescent="0.3">
      <c r="A1248">
        <v>402</v>
      </c>
      <c r="B1248" t="s">
        <v>17</v>
      </c>
      <c r="C1248" t="s">
        <v>37</v>
      </c>
      <c r="D1248">
        <v>7</v>
      </c>
      <c r="E1248" t="s">
        <v>94</v>
      </c>
    </row>
    <row r="1249" spans="1:5" x14ac:dyDescent="0.3">
      <c r="A1249">
        <v>403</v>
      </c>
      <c r="B1249" t="s">
        <v>5</v>
      </c>
      <c r="C1249" t="s">
        <v>36</v>
      </c>
      <c r="D1249">
        <v>0</v>
      </c>
      <c r="E1249" t="s">
        <v>552</v>
      </c>
    </row>
    <row r="1250" spans="1:5" x14ac:dyDescent="0.3">
      <c r="A1250">
        <v>404</v>
      </c>
      <c r="B1250" t="s">
        <v>21</v>
      </c>
      <c r="C1250" t="s">
        <v>65</v>
      </c>
      <c r="D1250">
        <v>3</v>
      </c>
      <c r="E1250" t="s">
        <v>550</v>
      </c>
    </row>
    <row r="1251" spans="1:5" x14ac:dyDescent="0.3">
      <c r="A1251">
        <v>404</v>
      </c>
      <c r="B1251" t="s">
        <v>74</v>
      </c>
      <c r="C1251" t="s">
        <v>65</v>
      </c>
      <c r="D1251">
        <v>1</v>
      </c>
      <c r="E1251" t="s">
        <v>340</v>
      </c>
    </row>
    <row r="1252" spans="1:5" x14ac:dyDescent="0.3">
      <c r="A1252">
        <v>405</v>
      </c>
      <c r="B1252" t="s">
        <v>10</v>
      </c>
      <c r="C1252" t="s">
        <v>37</v>
      </c>
      <c r="D1252">
        <v>3</v>
      </c>
      <c r="E1252" t="s">
        <v>400</v>
      </c>
    </row>
    <row r="1253" spans="1:5" x14ac:dyDescent="0.3">
      <c r="A1253">
        <v>406</v>
      </c>
      <c r="B1253" t="s">
        <v>9</v>
      </c>
      <c r="C1253" t="s">
        <v>37</v>
      </c>
      <c r="D1253">
        <v>9</v>
      </c>
      <c r="E1253" t="s">
        <v>553</v>
      </c>
    </row>
    <row r="1254" spans="1:5" x14ac:dyDescent="0.3">
      <c r="A1254">
        <v>406</v>
      </c>
      <c r="B1254" t="s">
        <v>16</v>
      </c>
      <c r="C1254" t="s">
        <v>37</v>
      </c>
      <c r="D1254">
        <v>10</v>
      </c>
      <c r="E1254" t="s">
        <v>94</v>
      </c>
    </row>
    <row r="1255" spans="1:5" x14ac:dyDescent="0.3">
      <c r="A1255">
        <v>408</v>
      </c>
      <c r="B1255" t="s">
        <v>9</v>
      </c>
      <c r="C1255" t="s">
        <v>37</v>
      </c>
      <c r="D1255">
        <v>8</v>
      </c>
      <c r="E1255" t="s">
        <v>403</v>
      </c>
    </row>
    <row r="1256" spans="1:5" x14ac:dyDescent="0.3">
      <c r="A1256">
        <v>416</v>
      </c>
      <c r="B1256" t="s">
        <v>17</v>
      </c>
      <c r="C1256" t="s">
        <v>37</v>
      </c>
      <c r="D1256">
        <v>0</v>
      </c>
      <c r="E1256" t="s">
        <v>513</v>
      </c>
    </row>
    <row r="1257" spans="1:5" x14ac:dyDescent="0.3">
      <c r="A1257">
        <v>417</v>
      </c>
      <c r="B1257" t="s">
        <v>15</v>
      </c>
      <c r="C1257" t="s">
        <v>37</v>
      </c>
      <c r="D1257">
        <v>9</v>
      </c>
      <c r="E1257" t="s">
        <v>403</v>
      </c>
    </row>
    <row r="1258" spans="1:5" x14ac:dyDescent="0.3">
      <c r="A1258">
        <v>423</v>
      </c>
      <c r="B1258" t="s">
        <v>10</v>
      </c>
      <c r="C1258" t="s">
        <v>37</v>
      </c>
      <c r="D1258">
        <v>0</v>
      </c>
      <c r="E1258" t="s">
        <v>114</v>
      </c>
    </row>
    <row r="1259" spans="1:5" x14ac:dyDescent="0.3">
      <c r="A1259">
        <v>425</v>
      </c>
      <c r="B1259" t="s">
        <v>17</v>
      </c>
      <c r="C1259" t="s">
        <v>37</v>
      </c>
      <c r="D1259">
        <v>0</v>
      </c>
      <c r="E1259" t="s">
        <v>524</v>
      </c>
    </row>
    <row r="1260" spans="1:5" x14ac:dyDescent="0.3">
      <c r="A1260">
        <v>432</v>
      </c>
      <c r="B1260" t="s">
        <v>3</v>
      </c>
      <c r="C1260" t="s">
        <v>37</v>
      </c>
      <c r="D1260">
        <v>0</v>
      </c>
      <c r="E1260" t="s">
        <v>400</v>
      </c>
    </row>
    <row r="1261" spans="1:5" x14ac:dyDescent="0.3">
      <c r="A1261">
        <v>437</v>
      </c>
      <c r="B1261" t="s">
        <v>9</v>
      </c>
      <c r="C1261" t="s">
        <v>37</v>
      </c>
      <c r="D1261">
        <v>1</v>
      </c>
      <c r="E1261" t="s">
        <v>513</v>
      </c>
    </row>
    <row r="1262" spans="1:5" x14ac:dyDescent="0.3">
      <c r="A1262">
        <v>500</v>
      </c>
      <c r="B1262" t="s">
        <v>74</v>
      </c>
      <c r="C1262" t="s">
        <v>65</v>
      </c>
      <c r="D1262">
        <v>1</v>
      </c>
      <c r="E1262" t="s">
        <v>557</v>
      </c>
    </row>
    <row r="1263" spans="1:5" x14ac:dyDescent="0.3">
      <c r="A1263">
        <v>500</v>
      </c>
      <c r="B1263" t="s">
        <v>76</v>
      </c>
      <c r="C1263" t="s">
        <v>68</v>
      </c>
      <c r="D1263">
        <v>1</v>
      </c>
      <c r="E1263" t="s">
        <v>269</v>
      </c>
    </row>
    <row r="1264" spans="1:5" x14ac:dyDescent="0.3">
      <c r="A1264">
        <v>500</v>
      </c>
      <c r="B1264" t="s">
        <v>6</v>
      </c>
      <c r="C1264" t="s">
        <v>36</v>
      </c>
      <c r="D1264">
        <v>10</v>
      </c>
      <c r="E1264" t="s">
        <v>402</v>
      </c>
    </row>
    <row r="1265" spans="1:5" x14ac:dyDescent="0.3">
      <c r="A1265">
        <v>500</v>
      </c>
      <c r="B1265" t="s">
        <v>7</v>
      </c>
      <c r="C1265" t="s">
        <v>36</v>
      </c>
      <c r="D1265">
        <v>8</v>
      </c>
      <c r="E1265" t="s">
        <v>402</v>
      </c>
    </row>
    <row r="1266" spans="1:5" x14ac:dyDescent="0.3">
      <c r="A1266">
        <v>500</v>
      </c>
      <c r="B1266" t="s">
        <v>5</v>
      </c>
      <c r="C1266" t="s">
        <v>36</v>
      </c>
      <c r="D1266">
        <v>1</v>
      </c>
      <c r="E1266" t="s">
        <v>554</v>
      </c>
    </row>
    <row r="1267" spans="1:5" x14ac:dyDescent="0.3">
      <c r="A1267">
        <v>500</v>
      </c>
      <c r="B1267" t="s">
        <v>28</v>
      </c>
      <c r="C1267" t="s">
        <v>68</v>
      </c>
      <c r="D1267">
        <v>0</v>
      </c>
      <c r="E1267" t="s">
        <v>556</v>
      </c>
    </row>
    <row r="1268" spans="1:5" x14ac:dyDescent="0.3">
      <c r="A1268">
        <v>500</v>
      </c>
      <c r="B1268" t="s">
        <v>33</v>
      </c>
      <c r="C1268" t="s">
        <v>68</v>
      </c>
      <c r="D1268">
        <v>1</v>
      </c>
      <c r="E1268" t="s">
        <v>269</v>
      </c>
    </row>
    <row r="1269" spans="1:5" x14ac:dyDescent="0.3">
      <c r="A1269">
        <v>500</v>
      </c>
      <c r="B1269" t="s">
        <v>78</v>
      </c>
      <c r="C1269" t="s">
        <v>37</v>
      </c>
      <c r="D1269">
        <v>1</v>
      </c>
      <c r="E1269" t="s">
        <v>455</v>
      </c>
    </row>
    <row r="1270" spans="1:5" x14ac:dyDescent="0.3">
      <c r="A1270">
        <v>500</v>
      </c>
      <c r="B1270" t="s">
        <v>80</v>
      </c>
      <c r="C1270" t="s">
        <v>68</v>
      </c>
      <c r="D1270">
        <v>1</v>
      </c>
      <c r="E1270" t="s">
        <v>555</v>
      </c>
    </row>
    <row r="1271" spans="1:5" x14ac:dyDescent="0.3">
      <c r="A1271">
        <v>501</v>
      </c>
      <c r="B1271" t="s">
        <v>4</v>
      </c>
      <c r="C1271" t="s">
        <v>36</v>
      </c>
      <c r="D1271">
        <v>0</v>
      </c>
      <c r="E1271" t="s">
        <v>558</v>
      </c>
    </row>
    <row r="1272" spans="1:5" x14ac:dyDescent="0.3">
      <c r="A1272">
        <v>501</v>
      </c>
      <c r="B1272" t="s">
        <v>5</v>
      </c>
      <c r="C1272" t="s">
        <v>36</v>
      </c>
      <c r="D1272">
        <v>1</v>
      </c>
      <c r="E1272" t="s">
        <v>559</v>
      </c>
    </row>
    <row r="1273" spans="1:5" x14ac:dyDescent="0.3">
      <c r="A1273">
        <v>501</v>
      </c>
      <c r="B1273" t="s">
        <v>80</v>
      </c>
      <c r="C1273" t="s">
        <v>68</v>
      </c>
      <c r="D1273">
        <v>3</v>
      </c>
      <c r="E1273" t="s">
        <v>577</v>
      </c>
    </row>
    <row r="1274" spans="1:5" x14ac:dyDescent="0.3">
      <c r="A1274">
        <v>501</v>
      </c>
      <c r="B1274" t="s">
        <v>38</v>
      </c>
      <c r="C1274" t="s">
        <v>68</v>
      </c>
      <c r="D1274">
        <v>3</v>
      </c>
      <c r="E1274" t="s">
        <v>578</v>
      </c>
    </row>
    <row r="1275" spans="1:5" x14ac:dyDescent="0.3">
      <c r="A1275">
        <v>501</v>
      </c>
      <c r="B1275" t="s">
        <v>74</v>
      </c>
      <c r="C1275" t="s">
        <v>65</v>
      </c>
      <c r="D1275">
        <v>0</v>
      </c>
      <c r="E1275" t="s">
        <v>94</v>
      </c>
    </row>
    <row r="1276" spans="1:5" x14ac:dyDescent="0.3">
      <c r="A1276">
        <v>501</v>
      </c>
      <c r="B1276" t="s">
        <v>78</v>
      </c>
      <c r="C1276" t="s">
        <v>37</v>
      </c>
      <c r="D1276">
        <v>1</v>
      </c>
      <c r="E1276" t="s">
        <v>560</v>
      </c>
    </row>
    <row r="1277" spans="1:5" x14ac:dyDescent="0.3">
      <c r="A1277">
        <v>501</v>
      </c>
      <c r="B1277" t="s">
        <v>76</v>
      </c>
      <c r="C1277" t="s">
        <v>68</v>
      </c>
      <c r="D1277">
        <v>1</v>
      </c>
      <c r="E1277" t="s">
        <v>217</v>
      </c>
    </row>
    <row r="1278" spans="1:5" x14ac:dyDescent="0.3">
      <c r="A1278">
        <v>502</v>
      </c>
      <c r="B1278" t="s">
        <v>78</v>
      </c>
      <c r="C1278" t="s">
        <v>37</v>
      </c>
      <c r="D1278">
        <v>1</v>
      </c>
      <c r="E1278" t="s">
        <v>561</v>
      </c>
    </row>
    <row r="1279" spans="1:5" x14ac:dyDescent="0.3">
      <c r="A1279">
        <v>502</v>
      </c>
      <c r="B1279" t="s">
        <v>76</v>
      </c>
      <c r="C1279" t="s">
        <v>68</v>
      </c>
      <c r="D1279">
        <v>1</v>
      </c>
      <c r="E1279" t="s">
        <v>137</v>
      </c>
    </row>
    <row r="1280" spans="1:5" x14ac:dyDescent="0.3">
      <c r="A1280">
        <v>502</v>
      </c>
      <c r="B1280" t="s">
        <v>77</v>
      </c>
      <c r="C1280" t="s">
        <v>65</v>
      </c>
      <c r="D1280">
        <v>0</v>
      </c>
      <c r="E1280" t="s">
        <v>94</v>
      </c>
    </row>
    <row r="1281" spans="1:5" x14ac:dyDescent="0.3">
      <c r="A1281">
        <v>502</v>
      </c>
      <c r="B1281" t="s">
        <v>33</v>
      </c>
      <c r="C1281" t="s">
        <v>68</v>
      </c>
      <c r="D1281">
        <v>1</v>
      </c>
      <c r="E1281" t="s">
        <v>360</v>
      </c>
    </row>
    <row r="1282" spans="1:5" x14ac:dyDescent="0.3">
      <c r="A1282">
        <v>502</v>
      </c>
      <c r="B1282" t="s">
        <v>5</v>
      </c>
      <c r="C1282" t="s">
        <v>36</v>
      </c>
      <c r="D1282">
        <v>1</v>
      </c>
      <c r="E1282" t="s">
        <v>562</v>
      </c>
    </row>
    <row r="1283" spans="1:5" x14ac:dyDescent="0.3">
      <c r="A1283">
        <v>502</v>
      </c>
      <c r="B1283" t="s">
        <v>74</v>
      </c>
      <c r="C1283" t="s">
        <v>65</v>
      </c>
      <c r="D1283">
        <v>0</v>
      </c>
      <c r="E1283" t="s">
        <v>94</v>
      </c>
    </row>
    <row r="1284" spans="1:5" x14ac:dyDescent="0.3">
      <c r="A1284">
        <v>503</v>
      </c>
      <c r="B1284" t="s">
        <v>33</v>
      </c>
      <c r="C1284" t="s">
        <v>68</v>
      </c>
      <c r="D1284">
        <v>1</v>
      </c>
      <c r="E1284" t="s">
        <v>94</v>
      </c>
    </row>
    <row r="1285" spans="1:5" x14ac:dyDescent="0.3">
      <c r="A1285">
        <v>503</v>
      </c>
      <c r="B1285" t="s">
        <v>76</v>
      </c>
      <c r="C1285" t="s">
        <v>68</v>
      </c>
      <c r="D1285">
        <v>1</v>
      </c>
      <c r="E1285" t="s">
        <v>217</v>
      </c>
    </row>
    <row r="1286" spans="1:5" x14ac:dyDescent="0.3">
      <c r="A1286">
        <v>503</v>
      </c>
      <c r="B1286" t="s">
        <v>7</v>
      </c>
      <c r="C1286" t="s">
        <v>36</v>
      </c>
      <c r="D1286">
        <v>11</v>
      </c>
      <c r="E1286" t="s">
        <v>375</v>
      </c>
    </row>
    <row r="1287" spans="1:5" x14ac:dyDescent="0.3">
      <c r="A1287">
        <v>503</v>
      </c>
      <c r="B1287" t="s">
        <v>77</v>
      </c>
      <c r="C1287" t="s">
        <v>65</v>
      </c>
      <c r="D1287">
        <v>1</v>
      </c>
      <c r="E1287" t="s">
        <v>269</v>
      </c>
    </row>
    <row r="1288" spans="1:5" x14ac:dyDescent="0.3">
      <c r="A1288">
        <v>503</v>
      </c>
      <c r="B1288" t="s">
        <v>8</v>
      </c>
      <c r="C1288" t="s">
        <v>36</v>
      </c>
      <c r="D1288">
        <v>1</v>
      </c>
      <c r="E1288" t="s">
        <v>402</v>
      </c>
    </row>
    <row r="1289" spans="1:5" x14ac:dyDescent="0.3">
      <c r="A1289">
        <v>503</v>
      </c>
      <c r="B1289" t="s">
        <v>5</v>
      </c>
      <c r="C1289" t="s">
        <v>36</v>
      </c>
      <c r="D1289">
        <v>1</v>
      </c>
      <c r="E1289" t="s">
        <v>563</v>
      </c>
    </row>
    <row r="1290" spans="1:5" x14ac:dyDescent="0.3">
      <c r="A1290">
        <v>503</v>
      </c>
      <c r="B1290" t="s">
        <v>78</v>
      </c>
      <c r="C1290" t="s">
        <v>37</v>
      </c>
      <c r="D1290">
        <v>1</v>
      </c>
      <c r="E1290" t="s">
        <v>564</v>
      </c>
    </row>
    <row r="1291" spans="1:5" x14ac:dyDescent="0.3">
      <c r="A1291">
        <v>504</v>
      </c>
      <c r="B1291" t="s">
        <v>5</v>
      </c>
      <c r="C1291" t="s">
        <v>36</v>
      </c>
      <c r="D1291">
        <v>2</v>
      </c>
      <c r="E1291" t="s">
        <v>565</v>
      </c>
    </row>
    <row r="1292" spans="1:5" x14ac:dyDescent="0.3">
      <c r="A1292">
        <v>505</v>
      </c>
      <c r="B1292" t="s">
        <v>78</v>
      </c>
      <c r="C1292" t="s">
        <v>37</v>
      </c>
      <c r="D1292">
        <v>1</v>
      </c>
      <c r="E1292" t="s">
        <v>566</v>
      </c>
    </row>
    <row r="1293" spans="1:5" x14ac:dyDescent="0.3">
      <c r="A1293">
        <v>505</v>
      </c>
      <c r="B1293" t="s">
        <v>28</v>
      </c>
      <c r="C1293" t="s">
        <v>68</v>
      </c>
      <c r="D1293">
        <v>1</v>
      </c>
      <c r="E1293" t="s">
        <v>217</v>
      </c>
    </row>
    <row r="1294" spans="1:5" x14ac:dyDescent="0.3">
      <c r="A1294">
        <v>505</v>
      </c>
      <c r="B1294" t="s">
        <v>25</v>
      </c>
      <c r="C1294" t="s">
        <v>84</v>
      </c>
      <c r="D1294">
        <v>2</v>
      </c>
      <c r="E1294" t="s">
        <v>318</v>
      </c>
    </row>
    <row r="1295" spans="1:5" x14ac:dyDescent="0.3">
      <c r="A1295">
        <v>505</v>
      </c>
      <c r="B1295" t="s">
        <v>80</v>
      </c>
      <c r="C1295" t="s">
        <v>68</v>
      </c>
      <c r="D1295">
        <v>1</v>
      </c>
      <c r="E1295" t="s">
        <v>388</v>
      </c>
    </row>
    <row r="1296" spans="1:5" x14ac:dyDescent="0.3">
      <c r="A1296">
        <v>505</v>
      </c>
      <c r="B1296" t="s">
        <v>33</v>
      </c>
      <c r="C1296" t="s">
        <v>68</v>
      </c>
      <c r="D1296">
        <v>1</v>
      </c>
      <c r="E1296" t="s">
        <v>570</v>
      </c>
    </row>
    <row r="1297" spans="1:5" x14ac:dyDescent="0.3">
      <c r="A1297">
        <v>505</v>
      </c>
      <c r="B1297" t="s">
        <v>74</v>
      </c>
      <c r="C1297" t="s">
        <v>65</v>
      </c>
      <c r="D1297">
        <v>1</v>
      </c>
      <c r="E1297" t="s">
        <v>340</v>
      </c>
    </row>
    <row r="1298" spans="1:5" x14ac:dyDescent="0.3">
      <c r="A1298">
        <v>505</v>
      </c>
      <c r="B1298" t="s">
        <v>76</v>
      </c>
      <c r="C1298" t="s">
        <v>68</v>
      </c>
      <c r="D1298">
        <v>1</v>
      </c>
      <c r="E1298" t="s">
        <v>513</v>
      </c>
    </row>
    <row r="1299" spans="1:5" x14ac:dyDescent="0.3">
      <c r="A1299">
        <v>505</v>
      </c>
      <c r="B1299" t="s">
        <v>5</v>
      </c>
      <c r="C1299" t="s">
        <v>36</v>
      </c>
      <c r="D1299">
        <v>2</v>
      </c>
      <c r="E1299" t="s">
        <v>563</v>
      </c>
    </row>
    <row r="1300" spans="1:5" x14ac:dyDescent="0.3">
      <c r="A1300">
        <v>506</v>
      </c>
      <c r="B1300" t="s">
        <v>74</v>
      </c>
      <c r="C1300" t="s">
        <v>65</v>
      </c>
      <c r="D1300">
        <v>1</v>
      </c>
      <c r="E1300" t="s">
        <v>478</v>
      </c>
    </row>
    <row r="1301" spans="1:5" x14ac:dyDescent="0.3">
      <c r="A1301">
        <v>506</v>
      </c>
      <c r="B1301" t="s">
        <v>78</v>
      </c>
      <c r="C1301" t="s">
        <v>37</v>
      </c>
      <c r="D1301">
        <v>1</v>
      </c>
      <c r="E1301" t="s">
        <v>571</v>
      </c>
    </row>
    <row r="1302" spans="1:5" x14ac:dyDescent="0.3">
      <c r="A1302">
        <v>506</v>
      </c>
      <c r="B1302" t="s">
        <v>33</v>
      </c>
      <c r="C1302" t="s">
        <v>68</v>
      </c>
      <c r="D1302">
        <v>1</v>
      </c>
      <c r="E1302" t="s">
        <v>355</v>
      </c>
    </row>
    <row r="1303" spans="1:5" x14ac:dyDescent="0.3">
      <c r="A1303">
        <v>506</v>
      </c>
      <c r="B1303" t="s">
        <v>80</v>
      </c>
      <c r="C1303" t="s">
        <v>68</v>
      </c>
      <c r="D1303">
        <v>1</v>
      </c>
      <c r="E1303" t="s">
        <v>572</v>
      </c>
    </row>
    <row r="1304" spans="1:5" x14ac:dyDescent="0.3">
      <c r="A1304">
        <v>506</v>
      </c>
      <c r="B1304" t="s">
        <v>21</v>
      </c>
      <c r="C1304" t="s">
        <v>65</v>
      </c>
      <c r="D1304">
        <v>2</v>
      </c>
      <c r="E1304" t="s">
        <v>568</v>
      </c>
    </row>
    <row r="1305" spans="1:5" x14ac:dyDescent="0.3">
      <c r="A1305">
        <v>506</v>
      </c>
      <c r="B1305" t="s">
        <v>5</v>
      </c>
      <c r="C1305" t="s">
        <v>36</v>
      </c>
      <c r="D1305">
        <v>1</v>
      </c>
      <c r="E1305" t="s">
        <v>567</v>
      </c>
    </row>
    <row r="1306" spans="1:5" x14ac:dyDescent="0.3">
      <c r="A1306">
        <v>506</v>
      </c>
      <c r="B1306" t="s">
        <v>4</v>
      </c>
      <c r="C1306" t="s">
        <v>36</v>
      </c>
      <c r="D1306">
        <v>1</v>
      </c>
      <c r="E1306" t="s">
        <v>447</v>
      </c>
    </row>
    <row r="1307" spans="1:5" x14ac:dyDescent="0.3">
      <c r="A1307">
        <v>506</v>
      </c>
      <c r="B1307" t="s">
        <v>76</v>
      </c>
      <c r="C1307" t="s">
        <v>68</v>
      </c>
      <c r="D1307">
        <v>1</v>
      </c>
      <c r="E1307" t="s">
        <v>571</v>
      </c>
    </row>
    <row r="1308" spans="1:5" x14ac:dyDescent="0.3">
      <c r="A1308">
        <v>507</v>
      </c>
      <c r="B1308" t="s">
        <v>5</v>
      </c>
      <c r="C1308" t="s">
        <v>36</v>
      </c>
      <c r="D1308">
        <v>2</v>
      </c>
      <c r="E1308" t="s">
        <v>339</v>
      </c>
    </row>
    <row r="1309" spans="1:5" x14ac:dyDescent="0.3">
      <c r="A1309">
        <v>507</v>
      </c>
      <c r="B1309" t="s">
        <v>9</v>
      </c>
      <c r="C1309" t="s">
        <v>37</v>
      </c>
      <c r="D1309">
        <v>4</v>
      </c>
      <c r="E1309" t="s">
        <v>447</v>
      </c>
    </row>
    <row r="1310" spans="1:5" x14ac:dyDescent="0.3">
      <c r="A1310">
        <v>507</v>
      </c>
      <c r="B1310" t="s">
        <v>80</v>
      </c>
      <c r="C1310" t="s">
        <v>68</v>
      </c>
      <c r="D1310">
        <v>0</v>
      </c>
      <c r="E1310" t="s">
        <v>355</v>
      </c>
    </row>
    <row r="1311" spans="1:5" x14ac:dyDescent="0.3">
      <c r="A1311">
        <v>507</v>
      </c>
      <c r="B1311" t="s">
        <v>33</v>
      </c>
      <c r="C1311" t="s">
        <v>68</v>
      </c>
      <c r="D1311">
        <v>1</v>
      </c>
      <c r="E1311" t="s">
        <v>571</v>
      </c>
    </row>
    <row r="1312" spans="1:5" x14ac:dyDescent="0.3">
      <c r="A1312">
        <v>507</v>
      </c>
      <c r="B1312" t="s">
        <v>74</v>
      </c>
      <c r="C1312" t="s">
        <v>65</v>
      </c>
      <c r="D1312">
        <v>1</v>
      </c>
      <c r="E1312" t="s">
        <v>564</v>
      </c>
    </row>
    <row r="1313" spans="1:5" x14ac:dyDescent="0.3">
      <c r="A1313">
        <v>507</v>
      </c>
      <c r="B1313" t="s">
        <v>78</v>
      </c>
      <c r="C1313" t="s">
        <v>37</v>
      </c>
      <c r="D1313">
        <v>0</v>
      </c>
      <c r="E1313" t="s">
        <v>217</v>
      </c>
    </row>
    <row r="1314" spans="1:5" x14ac:dyDescent="0.3">
      <c r="A1314">
        <v>507</v>
      </c>
      <c r="B1314" t="s">
        <v>76</v>
      </c>
      <c r="C1314" t="s">
        <v>68</v>
      </c>
      <c r="D1314">
        <v>0</v>
      </c>
      <c r="E1314" t="s">
        <v>572</v>
      </c>
    </row>
    <row r="1315" spans="1:5" x14ac:dyDescent="0.3">
      <c r="A1315">
        <v>508</v>
      </c>
      <c r="B1315" t="s">
        <v>78</v>
      </c>
      <c r="C1315" t="s">
        <v>37</v>
      </c>
      <c r="D1315">
        <v>1</v>
      </c>
      <c r="E1315" t="s">
        <v>572</v>
      </c>
    </row>
    <row r="1316" spans="1:5" x14ac:dyDescent="0.3">
      <c r="A1316">
        <v>508</v>
      </c>
      <c r="B1316" t="s">
        <v>80</v>
      </c>
      <c r="C1316" t="s">
        <v>68</v>
      </c>
      <c r="D1316">
        <v>1</v>
      </c>
      <c r="E1316" t="s">
        <v>596</v>
      </c>
    </row>
    <row r="1317" spans="1:5" x14ac:dyDescent="0.3">
      <c r="A1317">
        <v>508</v>
      </c>
      <c r="B1317" t="s">
        <v>21</v>
      </c>
      <c r="C1317" t="s">
        <v>65</v>
      </c>
      <c r="D1317">
        <v>4</v>
      </c>
      <c r="E1317" t="s">
        <v>387</v>
      </c>
    </row>
    <row r="1318" spans="1:5" x14ac:dyDescent="0.3">
      <c r="A1318">
        <v>509</v>
      </c>
      <c r="B1318" t="s">
        <v>33</v>
      </c>
      <c r="C1318" t="s">
        <v>68</v>
      </c>
      <c r="D1318">
        <v>1</v>
      </c>
      <c r="E1318" t="s">
        <v>360</v>
      </c>
    </row>
    <row r="1319" spans="1:5" x14ac:dyDescent="0.3">
      <c r="A1319">
        <v>509</v>
      </c>
      <c r="B1319" t="s">
        <v>78</v>
      </c>
      <c r="C1319" t="s">
        <v>37</v>
      </c>
      <c r="D1319">
        <v>1</v>
      </c>
      <c r="E1319" t="s">
        <v>94</v>
      </c>
    </row>
    <row r="1320" spans="1:5" x14ac:dyDescent="0.3">
      <c r="A1320">
        <v>509</v>
      </c>
      <c r="B1320" t="s">
        <v>5</v>
      </c>
      <c r="C1320" t="s">
        <v>36</v>
      </c>
      <c r="D1320">
        <v>1</v>
      </c>
      <c r="E1320" t="s">
        <v>569</v>
      </c>
    </row>
    <row r="1321" spans="1:5" x14ac:dyDescent="0.3">
      <c r="A1321">
        <v>509</v>
      </c>
      <c r="B1321" t="s">
        <v>34</v>
      </c>
      <c r="C1321" t="s">
        <v>68</v>
      </c>
      <c r="D1321">
        <v>0</v>
      </c>
      <c r="E1321" t="s">
        <v>572</v>
      </c>
    </row>
    <row r="1322" spans="1:5" x14ac:dyDescent="0.3">
      <c r="A1322">
        <v>509</v>
      </c>
      <c r="B1322" t="s">
        <v>75</v>
      </c>
      <c r="C1322" t="s">
        <v>65</v>
      </c>
      <c r="D1322">
        <v>3</v>
      </c>
      <c r="E1322" t="s">
        <v>572</v>
      </c>
    </row>
    <row r="1323" spans="1:5" x14ac:dyDescent="0.3">
      <c r="A1323">
        <v>509</v>
      </c>
      <c r="B1323" t="s">
        <v>21</v>
      </c>
      <c r="C1323" t="s">
        <v>65</v>
      </c>
      <c r="D1323">
        <v>125</v>
      </c>
      <c r="E1323" t="s">
        <v>691</v>
      </c>
    </row>
    <row r="1324" spans="1:5" x14ac:dyDescent="0.3">
      <c r="A1324">
        <v>509</v>
      </c>
      <c r="B1324" t="s">
        <v>19</v>
      </c>
      <c r="C1324" t="s">
        <v>65</v>
      </c>
      <c r="D1324">
        <v>126</v>
      </c>
      <c r="E1324" t="s">
        <v>691</v>
      </c>
    </row>
    <row r="1325" spans="1:5" x14ac:dyDescent="0.3">
      <c r="A1325">
        <v>509</v>
      </c>
      <c r="B1325" t="s">
        <v>17</v>
      </c>
      <c r="C1325" t="s">
        <v>37</v>
      </c>
      <c r="D1325">
        <v>0</v>
      </c>
      <c r="E1325" t="s">
        <v>524</v>
      </c>
    </row>
    <row r="1326" spans="1:5" x14ac:dyDescent="0.3">
      <c r="A1326">
        <v>509</v>
      </c>
      <c r="B1326" t="s">
        <v>76</v>
      </c>
      <c r="C1326" t="s">
        <v>68</v>
      </c>
      <c r="D1326">
        <v>1</v>
      </c>
      <c r="E1326" t="s">
        <v>360</v>
      </c>
    </row>
    <row r="1327" spans="1:5" x14ac:dyDescent="0.3">
      <c r="A1327">
        <v>509</v>
      </c>
      <c r="B1327" t="s">
        <v>74</v>
      </c>
      <c r="C1327" t="s">
        <v>65</v>
      </c>
      <c r="D1327">
        <v>119</v>
      </c>
      <c r="E1327" t="s">
        <v>692</v>
      </c>
    </row>
    <row r="1328" spans="1:5" x14ac:dyDescent="0.3">
      <c r="A1328">
        <v>510</v>
      </c>
      <c r="B1328" t="s">
        <v>7</v>
      </c>
      <c r="C1328" t="s">
        <v>36</v>
      </c>
      <c r="D1328">
        <v>7</v>
      </c>
      <c r="E1328" t="s">
        <v>564</v>
      </c>
    </row>
    <row r="1329" spans="1:5" x14ac:dyDescent="0.3">
      <c r="A1329">
        <v>510</v>
      </c>
      <c r="B1329" t="s">
        <v>74</v>
      </c>
      <c r="C1329" t="s">
        <v>65</v>
      </c>
      <c r="D1329">
        <v>2</v>
      </c>
      <c r="E1329" t="s">
        <v>574</v>
      </c>
    </row>
    <row r="1330" spans="1:5" x14ac:dyDescent="0.3">
      <c r="A1330">
        <v>510</v>
      </c>
      <c r="B1330" t="s">
        <v>78</v>
      </c>
      <c r="C1330" t="s">
        <v>37</v>
      </c>
      <c r="D1330">
        <v>1</v>
      </c>
      <c r="E1330" t="s">
        <v>217</v>
      </c>
    </row>
    <row r="1331" spans="1:5" x14ac:dyDescent="0.3">
      <c r="A1331">
        <v>510</v>
      </c>
      <c r="B1331" t="s">
        <v>76</v>
      </c>
      <c r="C1331" t="s">
        <v>68</v>
      </c>
      <c r="D1331">
        <v>1</v>
      </c>
      <c r="E1331" t="s">
        <v>217</v>
      </c>
    </row>
    <row r="1332" spans="1:5" x14ac:dyDescent="0.3">
      <c r="A1332">
        <v>510</v>
      </c>
      <c r="B1332" t="s">
        <v>77</v>
      </c>
      <c r="C1332" t="s">
        <v>65</v>
      </c>
      <c r="D1332">
        <v>0</v>
      </c>
      <c r="E1332" t="s">
        <v>94</v>
      </c>
    </row>
    <row r="1333" spans="1:5" x14ac:dyDescent="0.3">
      <c r="A1333">
        <v>510</v>
      </c>
      <c r="B1333" t="s">
        <v>33</v>
      </c>
      <c r="C1333" t="s">
        <v>68</v>
      </c>
      <c r="D1333">
        <v>1</v>
      </c>
      <c r="E1333" t="s">
        <v>572</v>
      </c>
    </row>
    <row r="1334" spans="1:5" x14ac:dyDescent="0.3">
      <c r="A1334">
        <v>510</v>
      </c>
      <c r="B1334" t="s">
        <v>80</v>
      </c>
      <c r="C1334" t="s">
        <v>68</v>
      </c>
      <c r="D1334">
        <v>1</v>
      </c>
      <c r="E1334" t="s">
        <v>572</v>
      </c>
    </row>
    <row r="1335" spans="1:5" x14ac:dyDescent="0.3">
      <c r="A1335">
        <v>510</v>
      </c>
      <c r="B1335" t="s">
        <v>21</v>
      </c>
      <c r="C1335" t="s">
        <v>65</v>
      </c>
      <c r="D1335">
        <v>5</v>
      </c>
      <c r="E1335" t="s">
        <v>573</v>
      </c>
    </row>
    <row r="1336" spans="1:5" x14ac:dyDescent="0.3">
      <c r="A1336">
        <v>511</v>
      </c>
      <c r="B1336" t="s">
        <v>74</v>
      </c>
      <c r="C1336" t="s">
        <v>65</v>
      </c>
      <c r="D1336">
        <v>1</v>
      </c>
      <c r="E1336" t="s">
        <v>564</v>
      </c>
    </row>
    <row r="1337" spans="1:5" x14ac:dyDescent="0.3">
      <c r="A1337">
        <v>511</v>
      </c>
      <c r="B1337" t="s">
        <v>77</v>
      </c>
      <c r="C1337" t="s">
        <v>65</v>
      </c>
      <c r="D1337">
        <v>0</v>
      </c>
      <c r="E1337" t="s">
        <v>572</v>
      </c>
    </row>
    <row r="1338" spans="1:5" x14ac:dyDescent="0.3">
      <c r="A1338">
        <v>511</v>
      </c>
      <c r="B1338" t="s">
        <v>76</v>
      </c>
      <c r="C1338" t="s">
        <v>68</v>
      </c>
      <c r="D1338">
        <v>1</v>
      </c>
      <c r="E1338" t="s">
        <v>572</v>
      </c>
    </row>
    <row r="1339" spans="1:5" x14ac:dyDescent="0.3">
      <c r="A1339">
        <v>511</v>
      </c>
      <c r="B1339" t="s">
        <v>80</v>
      </c>
      <c r="C1339" t="s">
        <v>68</v>
      </c>
      <c r="D1339">
        <v>0</v>
      </c>
      <c r="E1339" t="s">
        <v>572</v>
      </c>
    </row>
    <row r="1340" spans="1:5" x14ac:dyDescent="0.3">
      <c r="A1340">
        <v>511</v>
      </c>
      <c r="B1340" t="s">
        <v>21</v>
      </c>
      <c r="C1340" t="s">
        <v>65</v>
      </c>
      <c r="D1340">
        <v>1</v>
      </c>
      <c r="E1340" t="s">
        <v>513</v>
      </c>
    </row>
    <row r="1341" spans="1:5" x14ac:dyDescent="0.3">
      <c r="A1341">
        <v>511</v>
      </c>
      <c r="B1341" t="s">
        <v>78</v>
      </c>
      <c r="C1341" t="s">
        <v>37</v>
      </c>
      <c r="D1341">
        <v>1</v>
      </c>
      <c r="E1341" t="s">
        <v>94</v>
      </c>
    </row>
    <row r="1342" spans="1:5" x14ac:dyDescent="0.3">
      <c r="A1342">
        <v>511</v>
      </c>
      <c r="B1342" t="s">
        <v>33</v>
      </c>
      <c r="C1342" t="s">
        <v>68</v>
      </c>
      <c r="D1342">
        <v>1</v>
      </c>
      <c r="E1342" t="s">
        <v>579</v>
      </c>
    </row>
    <row r="1343" spans="1:5" x14ac:dyDescent="0.3">
      <c r="A1343">
        <v>512</v>
      </c>
      <c r="B1343" t="s">
        <v>80</v>
      </c>
      <c r="C1343" t="s">
        <v>68</v>
      </c>
      <c r="D1343">
        <v>1</v>
      </c>
      <c r="E1343" t="s">
        <v>570</v>
      </c>
    </row>
    <row r="1344" spans="1:5" x14ac:dyDescent="0.3">
      <c r="A1344">
        <v>512</v>
      </c>
      <c r="B1344" t="s">
        <v>77</v>
      </c>
      <c r="C1344" t="s">
        <v>65</v>
      </c>
      <c r="D1344">
        <v>0</v>
      </c>
      <c r="E1344" t="s">
        <v>572</v>
      </c>
    </row>
    <row r="1345" spans="1:5" x14ac:dyDescent="0.3">
      <c r="A1345">
        <v>512</v>
      </c>
      <c r="B1345" t="s">
        <v>33</v>
      </c>
      <c r="C1345" t="s">
        <v>68</v>
      </c>
      <c r="D1345">
        <v>1</v>
      </c>
      <c r="E1345" t="s">
        <v>570</v>
      </c>
    </row>
    <row r="1346" spans="1:5" x14ac:dyDescent="0.3">
      <c r="A1346">
        <v>512</v>
      </c>
      <c r="B1346" t="s">
        <v>78</v>
      </c>
      <c r="C1346" t="s">
        <v>37</v>
      </c>
      <c r="D1346">
        <v>1</v>
      </c>
      <c r="E1346" t="s">
        <v>513</v>
      </c>
    </row>
    <row r="1347" spans="1:5" x14ac:dyDescent="0.3">
      <c r="A1347">
        <v>512</v>
      </c>
      <c r="B1347" t="s">
        <v>28</v>
      </c>
      <c r="C1347" t="s">
        <v>68</v>
      </c>
      <c r="D1347">
        <v>0</v>
      </c>
      <c r="E1347" t="s">
        <v>572</v>
      </c>
    </row>
    <row r="1348" spans="1:5" x14ac:dyDescent="0.3">
      <c r="A1348">
        <v>512</v>
      </c>
      <c r="B1348" t="s">
        <v>5</v>
      </c>
      <c r="C1348" t="s">
        <v>36</v>
      </c>
      <c r="D1348">
        <v>1</v>
      </c>
      <c r="E1348" t="s">
        <v>575</v>
      </c>
    </row>
    <row r="1349" spans="1:5" x14ac:dyDescent="0.3">
      <c r="A1349">
        <v>512</v>
      </c>
      <c r="B1349" t="s">
        <v>74</v>
      </c>
      <c r="C1349" t="s">
        <v>65</v>
      </c>
      <c r="D1349">
        <v>1</v>
      </c>
      <c r="E1349" t="s">
        <v>572</v>
      </c>
    </row>
    <row r="1350" spans="1:5" x14ac:dyDescent="0.3">
      <c r="A1350">
        <v>513</v>
      </c>
      <c r="B1350" t="s">
        <v>28</v>
      </c>
      <c r="C1350" t="s">
        <v>68</v>
      </c>
      <c r="D1350">
        <v>1</v>
      </c>
      <c r="E1350" t="s">
        <v>572</v>
      </c>
    </row>
    <row r="1351" spans="1:5" x14ac:dyDescent="0.3">
      <c r="A1351">
        <v>513</v>
      </c>
      <c r="B1351" t="s">
        <v>76</v>
      </c>
      <c r="C1351" t="s">
        <v>68</v>
      </c>
      <c r="D1351">
        <v>1</v>
      </c>
      <c r="E1351" t="s">
        <v>580</v>
      </c>
    </row>
    <row r="1352" spans="1:5" x14ac:dyDescent="0.3">
      <c r="A1352">
        <v>513</v>
      </c>
      <c r="B1352" t="s">
        <v>78</v>
      </c>
      <c r="C1352" t="s">
        <v>37</v>
      </c>
      <c r="D1352">
        <v>1</v>
      </c>
      <c r="E1352" t="s">
        <v>581</v>
      </c>
    </row>
    <row r="1353" spans="1:5" x14ac:dyDescent="0.3">
      <c r="A1353">
        <v>513</v>
      </c>
      <c r="B1353" t="s">
        <v>77</v>
      </c>
      <c r="C1353" t="s">
        <v>65</v>
      </c>
      <c r="D1353">
        <v>1</v>
      </c>
      <c r="E1353" t="s">
        <v>94</v>
      </c>
    </row>
    <row r="1354" spans="1:5" x14ac:dyDescent="0.3">
      <c r="A1354">
        <v>513</v>
      </c>
      <c r="B1354" t="s">
        <v>74</v>
      </c>
      <c r="C1354" t="s">
        <v>65</v>
      </c>
      <c r="D1354">
        <v>1</v>
      </c>
      <c r="E1354" t="s">
        <v>572</v>
      </c>
    </row>
    <row r="1355" spans="1:5" x14ac:dyDescent="0.3">
      <c r="A1355">
        <v>513</v>
      </c>
      <c r="B1355" t="s">
        <v>33</v>
      </c>
      <c r="C1355" t="s">
        <v>68</v>
      </c>
      <c r="D1355">
        <v>1</v>
      </c>
      <c r="E1355" t="s">
        <v>572</v>
      </c>
    </row>
    <row r="1356" spans="1:5" x14ac:dyDescent="0.3">
      <c r="A1356">
        <v>513</v>
      </c>
      <c r="B1356" t="s">
        <v>5</v>
      </c>
      <c r="C1356" t="s">
        <v>36</v>
      </c>
      <c r="D1356">
        <v>0</v>
      </c>
      <c r="E1356" t="s">
        <v>564</v>
      </c>
    </row>
    <row r="1357" spans="1:5" x14ac:dyDescent="0.3">
      <c r="A1357">
        <v>514</v>
      </c>
      <c r="B1357" t="s">
        <v>5</v>
      </c>
      <c r="C1357" t="s">
        <v>36</v>
      </c>
      <c r="D1357">
        <v>2</v>
      </c>
      <c r="E1357" t="s">
        <v>263</v>
      </c>
    </row>
    <row r="1358" spans="1:5" x14ac:dyDescent="0.3">
      <c r="A1358">
        <v>514</v>
      </c>
      <c r="B1358" t="s">
        <v>12</v>
      </c>
      <c r="C1358" t="s">
        <v>37</v>
      </c>
      <c r="D1358">
        <v>0</v>
      </c>
      <c r="E1358" t="s">
        <v>576</v>
      </c>
    </row>
    <row r="1359" spans="1:5" x14ac:dyDescent="0.3">
      <c r="A1359">
        <v>514</v>
      </c>
      <c r="B1359" t="s">
        <v>21</v>
      </c>
      <c r="C1359" t="s">
        <v>65</v>
      </c>
      <c r="D1359">
        <v>5</v>
      </c>
      <c r="E1359" t="s">
        <v>582</v>
      </c>
    </row>
    <row r="1360" spans="1:5" x14ac:dyDescent="0.3">
      <c r="A1360">
        <v>514</v>
      </c>
      <c r="B1360" t="s">
        <v>33</v>
      </c>
      <c r="C1360" t="s">
        <v>68</v>
      </c>
      <c r="D1360">
        <v>1</v>
      </c>
      <c r="E1360" t="s">
        <v>583</v>
      </c>
    </row>
    <row r="1361" spans="1:5" x14ac:dyDescent="0.3">
      <c r="A1361">
        <v>514</v>
      </c>
      <c r="B1361" t="s">
        <v>74</v>
      </c>
      <c r="C1361" t="s">
        <v>65</v>
      </c>
      <c r="D1361">
        <v>0</v>
      </c>
      <c r="E1361" t="s">
        <v>94</v>
      </c>
    </row>
    <row r="1362" spans="1:5" x14ac:dyDescent="0.3">
      <c r="A1362">
        <v>514</v>
      </c>
      <c r="B1362" t="s">
        <v>78</v>
      </c>
      <c r="C1362" t="s">
        <v>37</v>
      </c>
      <c r="D1362">
        <v>1</v>
      </c>
      <c r="E1362" t="s">
        <v>94</v>
      </c>
    </row>
    <row r="1363" spans="1:5" x14ac:dyDescent="0.3">
      <c r="A1363">
        <v>514</v>
      </c>
      <c r="B1363" t="s">
        <v>76</v>
      </c>
      <c r="C1363" t="s">
        <v>68</v>
      </c>
      <c r="D1363">
        <v>1</v>
      </c>
      <c r="E1363" t="s">
        <v>94</v>
      </c>
    </row>
    <row r="1364" spans="1:5" x14ac:dyDescent="0.3">
      <c r="A1364">
        <v>515</v>
      </c>
      <c r="B1364" t="s">
        <v>8</v>
      </c>
      <c r="C1364" t="s">
        <v>36</v>
      </c>
      <c r="D1364">
        <v>0</v>
      </c>
      <c r="E1364" t="s">
        <v>572</v>
      </c>
    </row>
    <row r="1365" spans="1:5" x14ac:dyDescent="0.3">
      <c r="A1365">
        <v>515</v>
      </c>
      <c r="B1365" t="s">
        <v>78</v>
      </c>
      <c r="C1365" t="s">
        <v>37</v>
      </c>
      <c r="D1365">
        <v>1</v>
      </c>
      <c r="E1365" t="s">
        <v>572</v>
      </c>
    </row>
    <row r="1366" spans="1:5" x14ac:dyDescent="0.3">
      <c r="A1366">
        <v>515</v>
      </c>
      <c r="B1366" t="s">
        <v>80</v>
      </c>
      <c r="C1366" t="s">
        <v>68</v>
      </c>
      <c r="D1366">
        <v>2</v>
      </c>
      <c r="E1366" t="s">
        <v>584</v>
      </c>
    </row>
    <row r="1367" spans="1:5" x14ac:dyDescent="0.3">
      <c r="A1367">
        <v>515</v>
      </c>
      <c r="B1367" t="s">
        <v>33</v>
      </c>
      <c r="C1367" t="s">
        <v>68</v>
      </c>
      <c r="D1367">
        <v>1</v>
      </c>
      <c r="E1367" t="s">
        <v>571</v>
      </c>
    </row>
    <row r="1368" spans="1:5" x14ac:dyDescent="0.3">
      <c r="A1368">
        <v>515</v>
      </c>
      <c r="B1368" t="s">
        <v>76</v>
      </c>
      <c r="C1368" t="s">
        <v>68</v>
      </c>
      <c r="D1368">
        <v>1</v>
      </c>
      <c r="E1368" t="s">
        <v>94</v>
      </c>
    </row>
    <row r="1369" spans="1:5" x14ac:dyDescent="0.3">
      <c r="A1369">
        <v>515</v>
      </c>
      <c r="B1369" t="s">
        <v>28</v>
      </c>
      <c r="C1369" t="s">
        <v>68</v>
      </c>
      <c r="D1369">
        <v>0</v>
      </c>
      <c r="E1369" t="s">
        <v>94</v>
      </c>
    </row>
    <row r="1370" spans="1:5" x14ac:dyDescent="0.3">
      <c r="A1370">
        <v>515</v>
      </c>
      <c r="B1370" t="s">
        <v>6</v>
      </c>
      <c r="C1370" t="s">
        <v>36</v>
      </c>
      <c r="D1370">
        <v>196</v>
      </c>
      <c r="E1370" t="s">
        <v>572</v>
      </c>
    </row>
    <row r="1371" spans="1:5" x14ac:dyDescent="0.3">
      <c r="A1371">
        <v>515</v>
      </c>
      <c r="B1371" t="s">
        <v>5</v>
      </c>
      <c r="C1371" t="s">
        <v>36</v>
      </c>
      <c r="D1371">
        <v>1</v>
      </c>
      <c r="E1371" t="s">
        <v>572</v>
      </c>
    </row>
    <row r="1372" spans="1:5" x14ac:dyDescent="0.3">
      <c r="A1372">
        <v>516</v>
      </c>
      <c r="B1372" t="s">
        <v>6</v>
      </c>
      <c r="C1372" t="s">
        <v>36</v>
      </c>
      <c r="D1372">
        <v>193</v>
      </c>
      <c r="E1372" t="s">
        <v>572</v>
      </c>
    </row>
    <row r="1373" spans="1:5" x14ac:dyDescent="0.3">
      <c r="A1373">
        <v>516</v>
      </c>
      <c r="B1373" t="s">
        <v>7</v>
      </c>
      <c r="C1373" t="s">
        <v>36</v>
      </c>
      <c r="D1373">
        <v>193</v>
      </c>
      <c r="E1373" t="s">
        <v>572</v>
      </c>
    </row>
    <row r="1374" spans="1:5" x14ac:dyDescent="0.3">
      <c r="A1374">
        <v>516</v>
      </c>
      <c r="B1374" t="s">
        <v>31</v>
      </c>
      <c r="C1374" t="s">
        <v>68</v>
      </c>
      <c r="D1374">
        <v>5</v>
      </c>
      <c r="E1374" t="s">
        <v>597</v>
      </c>
    </row>
    <row r="1375" spans="1:5" x14ac:dyDescent="0.3">
      <c r="A1375">
        <v>516</v>
      </c>
      <c r="B1375" t="s">
        <v>74</v>
      </c>
      <c r="C1375" t="s">
        <v>65</v>
      </c>
      <c r="D1375">
        <v>1</v>
      </c>
      <c r="E1375" t="s">
        <v>585</v>
      </c>
    </row>
    <row r="1376" spans="1:5" x14ac:dyDescent="0.3">
      <c r="A1376">
        <v>516</v>
      </c>
      <c r="B1376" t="s">
        <v>78</v>
      </c>
      <c r="C1376" t="s">
        <v>37</v>
      </c>
      <c r="D1376">
        <v>1</v>
      </c>
      <c r="E1376" t="s">
        <v>478</v>
      </c>
    </row>
    <row r="1377" spans="1:5" x14ac:dyDescent="0.3">
      <c r="A1377">
        <v>517</v>
      </c>
      <c r="B1377" t="s">
        <v>78</v>
      </c>
      <c r="C1377" t="s">
        <v>37</v>
      </c>
      <c r="D1377">
        <v>1</v>
      </c>
      <c r="E1377" t="s">
        <v>572</v>
      </c>
    </row>
    <row r="1378" spans="1:5" x14ac:dyDescent="0.3">
      <c r="A1378">
        <v>517</v>
      </c>
      <c r="B1378" t="s">
        <v>76</v>
      </c>
      <c r="C1378" t="s">
        <v>68</v>
      </c>
      <c r="D1378">
        <v>1</v>
      </c>
      <c r="E1378" t="s">
        <v>571</v>
      </c>
    </row>
    <row r="1379" spans="1:5" x14ac:dyDescent="0.3">
      <c r="A1379">
        <v>517</v>
      </c>
      <c r="B1379" t="s">
        <v>77</v>
      </c>
      <c r="C1379" t="s">
        <v>65</v>
      </c>
      <c r="D1379">
        <v>0</v>
      </c>
      <c r="E1379" t="s">
        <v>570</v>
      </c>
    </row>
    <row r="1380" spans="1:5" x14ac:dyDescent="0.3">
      <c r="A1380">
        <v>517</v>
      </c>
      <c r="B1380" t="s">
        <v>74</v>
      </c>
      <c r="C1380" t="s">
        <v>65</v>
      </c>
      <c r="D1380">
        <v>1</v>
      </c>
      <c r="E1380" t="s">
        <v>204</v>
      </c>
    </row>
    <row r="1381" spans="1:5" x14ac:dyDescent="0.3">
      <c r="A1381">
        <v>517</v>
      </c>
      <c r="B1381" t="s">
        <v>33</v>
      </c>
      <c r="C1381" t="s">
        <v>68</v>
      </c>
      <c r="D1381">
        <v>1</v>
      </c>
      <c r="E1381" t="s">
        <v>217</v>
      </c>
    </row>
    <row r="1382" spans="1:5" x14ac:dyDescent="0.3">
      <c r="A1382">
        <v>517</v>
      </c>
      <c r="B1382" t="s">
        <v>80</v>
      </c>
      <c r="C1382" t="s">
        <v>68</v>
      </c>
      <c r="D1382">
        <v>6</v>
      </c>
      <c r="E1382" t="s">
        <v>612</v>
      </c>
    </row>
    <row r="1383" spans="1:5" x14ac:dyDescent="0.3">
      <c r="A1383">
        <v>517</v>
      </c>
      <c r="B1383" t="s">
        <v>23</v>
      </c>
      <c r="C1383" t="s">
        <v>65</v>
      </c>
      <c r="D1383">
        <v>8</v>
      </c>
      <c r="E1383" t="s">
        <v>564</v>
      </c>
    </row>
    <row r="1384" spans="1:5" x14ac:dyDescent="0.3">
      <c r="A1384">
        <v>517</v>
      </c>
      <c r="B1384" t="s">
        <v>7</v>
      </c>
      <c r="C1384" t="s">
        <v>36</v>
      </c>
      <c r="D1384">
        <v>178</v>
      </c>
      <c r="E1384" t="s">
        <v>572</v>
      </c>
    </row>
    <row r="1385" spans="1:5" x14ac:dyDescent="0.3">
      <c r="A1385">
        <v>517</v>
      </c>
      <c r="B1385" t="s">
        <v>6</v>
      </c>
      <c r="C1385" t="s">
        <v>36</v>
      </c>
      <c r="D1385">
        <v>178</v>
      </c>
      <c r="E1385" t="s">
        <v>572</v>
      </c>
    </row>
    <row r="1386" spans="1:5" x14ac:dyDescent="0.3">
      <c r="A1386">
        <v>517</v>
      </c>
      <c r="B1386" t="s">
        <v>5</v>
      </c>
      <c r="C1386" t="s">
        <v>36</v>
      </c>
      <c r="D1386">
        <v>1</v>
      </c>
      <c r="E1386" t="s">
        <v>339</v>
      </c>
    </row>
    <row r="1387" spans="1:5" x14ac:dyDescent="0.3">
      <c r="A1387">
        <v>518</v>
      </c>
      <c r="B1387" t="s">
        <v>33</v>
      </c>
      <c r="C1387" t="s">
        <v>68</v>
      </c>
      <c r="D1387">
        <v>1</v>
      </c>
      <c r="E1387" t="s">
        <v>571</v>
      </c>
    </row>
    <row r="1388" spans="1:5" x14ac:dyDescent="0.3">
      <c r="A1388">
        <v>518</v>
      </c>
      <c r="B1388" t="s">
        <v>76</v>
      </c>
      <c r="C1388" t="s">
        <v>68</v>
      </c>
      <c r="D1388">
        <v>1</v>
      </c>
      <c r="E1388" t="s">
        <v>571</v>
      </c>
    </row>
    <row r="1389" spans="1:5" x14ac:dyDescent="0.3">
      <c r="A1389">
        <v>518</v>
      </c>
      <c r="B1389" t="s">
        <v>6</v>
      </c>
      <c r="C1389" t="s">
        <v>36</v>
      </c>
      <c r="D1389">
        <v>176</v>
      </c>
      <c r="E1389" t="s">
        <v>572</v>
      </c>
    </row>
    <row r="1390" spans="1:5" x14ac:dyDescent="0.3">
      <c r="A1390">
        <v>518</v>
      </c>
      <c r="B1390" t="s">
        <v>74</v>
      </c>
      <c r="C1390" t="s">
        <v>65</v>
      </c>
      <c r="D1390">
        <v>0</v>
      </c>
      <c r="E1390" t="s">
        <v>457</v>
      </c>
    </row>
    <row r="1391" spans="1:5" x14ac:dyDescent="0.3">
      <c r="A1391">
        <v>518</v>
      </c>
      <c r="B1391" t="s">
        <v>80</v>
      </c>
      <c r="C1391" t="s">
        <v>68</v>
      </c>
      <c r="D1391">
        <v>1</v>
      </c>
      <c r="E1391" t="s">
        <v>586</v>
      </c>
    </row>
    <row r="1392" spans="1:5" x14ac:dyDescent="0.3">
      <c r="A1392">
        <v>518</v>
      </c>
      <c r="B1392" t="s">
        <v>8</v>
      </c>
      <c r="C1392" t="s">
        <v>36</v>
      </c>
      <c r="D1392">
        <v>1</v>
      </c>
      <c r="E1392" t="s">
        <v>236</v>
      </c>
    </row>
    <row r="1393" spans="1:5" x14ac:dyDescent="0.3">
      <c r="A1393">
        <v>518</v>
      </c>
      <c r="B1393" t="s">
        <v>5</v>
      </c>
      <c r="C1393" t="s">
        <v>36</v>
      </c>
      <c r="D1393">
        <v>0</v>
      </c>
      <c r="E1393" t="s">
        <v>587</v>
      </c>
    </row>
    <row r="1394" spans="1:5" x14ac:dyDescent="0.3">
      <c r="A1394">
        <v>518</v>
      </c>
      <c r="B1394" t="s">
        <v>7</v>
      </c>
      <c r="C1394" t="s">
        <v>36</v>
      </c>
      <c r="D1394">
        <v>176</v>
      </c>
      <c r="E1394" t="s">
        <v>572</v>
      </c>
    </row>
    <row r="1395" spans="1:5" x14ac:dyDescent="0.3">
      <c r="A1395">
        <v>518</v>
      </c>
      <c r="B1395" t="s">
        <v>78</v>
      </c>
      <c r="C1395" t="s">
        <v>37</v>
      </c>
      <c r="D1395">
        <v>1</v>
      </c>
      <c r="E1395" t="s">
        <v>140</v>
      </c>
    </row>
    <row r="1396" spans="1:5" x14ac:dyDescent="0.3">
      <c r="A1396">
        <v>519</v>
      </c>
      <c r="B1396" t="s">
        <v>7</v>
      </c>
      <c r="C1396" t="s">
        <v>36</v>
      </c>
      <c r="D1396">
        <v>150</v>
      </c>
      <c r="E1396" t="s">
        <v>572</v>
      </c>
    </row>
    <row r="1397" spans="1:5" x14ac:dyDescent="0.3">
      <c r="A1397">
        <v>519</v>
      </c>
      <c r="B1397" t="s">
        <v>78</v>
      </c>
      <c r="C1397" t="s">
        <v>37</v>
      </c>
      <c r="D1397">
        <v>1</v>
      </c>
      <c r="E1397" t="s">
        <v>140</v>
      </c>
    </row>
    <row r="1398" spans="1:5" x14ac:dyDescent="0.3">
      <c r="A1398">
        <v>519</v>
      </c>
      <c r="B1398" t="s">
        <v>77</v>
      </c>
      <c r="C1398" t="s">
        <v>65</v>
      </c>
      <c r="D1398">
        <v>2</v>
      </c>
      <c r="E1398" t="s">
        <v>591</v>
      </c>
    </row>
    <row r="1399" spans="1:5" x14ac:dyDescent="0.3">
      <c r="A1399">
        <v>519</v>
      </c>
      <c r="B1399" t="s">
        <v>74</v>
      </c>
      <c r="C1399" t="s">
        <v>65</v>
      </c>
      <c r="D1399">
        <v>1</v>
      </c>
      <c r="E1399" t="s">
        <v>94</v>
      </c>
    </row>
    <row r="1400" spans="1:5" x14ac:dyDescent="0.3">
      <c r="A1400">
        <v>519</v>
      </c>
      <c r="B1400" t="s">
        <v>33</v>
      </c>
      <c r="C1400" t="s">
        <v>68</v>
      </c>
      <c r="D1400">
        <v>1</v>
      </c>
      <c r="E1400" t="s">
        <v>362</v>
      </c>
    </row>
    <row r="1401" spans="1:5" x14ac:dyDescent="0.3">
      <c r="A1401">
        <v>519</v>
      </c>
      <c r="B1401" t="s">
        <v>80</v>
      </c>
      <c r="C1401" t="s">
        <v>68</v>
      </c>
      <c r="D1401">
        <v>1</v>
      </c>
      <c r="E1401" t="s">
        <v>588</v>
      </c>
    </row>
    <row r="1402" spans="1:5" x14ac:dyDescent="0.3">
      <c r="A1402">
        <v>519</v>
      </c>
      <c r="B1402" t="s">
        <v>29</v>
      </c>
      <c r="C1402" t="s">
        <v>68</v>
      </c>
      <c r="D1402">
        <v>0</v>
      </c>
      <c r="E1402" t="s">
        <v>94</v>
      </c>
    </row>
    <row r="1403" spans="1:5" x14ac:dyDescent="0.3">
      <c r="A1403">
        <v>519</v>
      </c>
      <c r="B1403" t="s">
        <v>28</v>
      </c>
      <c r="C1403" t="s">
        <v>68</v>
      </c>
      <c r="D1403">
        <v>0</v>
      </c>
      <c r="E1403" t="s">
        <v>590</v>
      </c>
    </row>
    <row r="1404" spans="1:5" x14ac:dyDescent="0.3">
      <c r="A1404">
        <v>519</v>
      </c>
      <c r="B1404" t="s">
        <v>4</v>
      </c>
      <c r="C1404" t="s">
        <v>36</v>
      </c>
      <c r="D1404">
        <v>0</v>
      </c>
      <c r="E1404" t="s">
        <v>572</v>
      </c>
    </row>
    <row r="1405" spans="1:5" x14ac:dyDescent="0.3">
      <c r="A1405">
        <v>519</v>
      </c>
      <c r="B1405" t="s">
        <v>6</v>
      </c>
      <c r="C1405" t="s">
        <v>36</v>
      </c>
      <c r="D1405">
        <v>150</v>
      </c>
      <c r="E1405" t="s">
        <v>572</v>
      </c>
    </row>
    <row r="1406" spans="1:5" x14ac:dyDescent="0.3">
      <c r="A1406">
        <v>519</v>
      </c>
      <c r="B1406" t="s">
        <v>76</v>
      </c>
      <c r="C1406" t="s">
        <v>68</v>
      </c>
      <c r="D1406">
        <v>1</v>
      </c>
      <c r="E1406" t="s">
        <v>571</v>
      </c>
    </row>
    <row r="1407" spans="1:5" x14ac:dyDescent="0.3">
      <c r="A1407">
        <v>519</v>
      </c>
      <c r="B1407" t="s">
        <v>5</v>
      </c>
      <c r="C1407" t="s">
        <v>36</v>
      </c>
      <c r="D1407">
        <v>3</v>
      </c>
      <c r="E1407" t="s">
        <v>589</v>
      </c>
    </row>
    <row r="1408" spans="1:5" x14ac:dyDescent="0.3">
      <c r="A1408">
        <v>520</v>
      </c>
      <c r="B1408" t="s">
        <v>33</v>
      </c>
      <c r="C1408" t="s">
        <v>68</v>
      </c>
      <c r="D1408">
        <v>1</v>
      </c>
      <c r="E1408" t="s">
        <v>571</v>
      </c>
    </row>
    <row r="1409" spans="1:5" x14ac:dyDescent="0.3">
      <c r="A1409">
        <v>520</v>
      </c>
      <c r="B1409" t="s">
        <v>74</v>
      </c>
      <c r="C1409" t="s">
        <v>65</v>
      </c>
      <c r="D1409">
        <v>1</v>
      </c>
      <c r="E1409" t="s">
        <v>217</v>
      </c>
    </row>
    <row r="1410" spans="1:5" x14ac:dyDescent="0.3">
      <c r="A1410">
        <v>520</v>
      </c>
      <c r="B1410" t="s">
        <v>80</v>
      </c>
      <c r="C1410" t="s">
        <v>68</v>
      </c>
      <c r="D1410">
        <v>1</v>
      </c>
      <c r="E1410" t="s">
        <v>602</v>
      </c>
    </row>
    <row r="1411" spans="1:5" x14ac:dyDescent="0.3">
      <c r="A1411">
        <v>520</v>
      </c>
      <c r="B1411" t="s">
        <v>78</v>
      </c>
      <c r="C1411" t="s">
        <v>37</v>
      </c>
      <c r="D1411">
        <v>1</v>
      </c>
      <c r="E1411" t="s">
        <v>137</v>
      </c>
    </row>
    <row r="1412" spans="1:5" x14ac:dyDescent="0.3">
      <c r="A1412">
        <v>520</v>
      </c>
      <c r="B1412" t="s">
        <v>76</v>
      </c>
      <c r="C1412" t="s">
        <v>68</v>
      </c>
      <c r="D1412">
        <v>1</v>
      </c>
      <c r="E1412" t="s">
        <v>571</v>
      </c>
    </row>
    <row r="1413" spans="1:5" x14ac:dyDescent="0.3">
      <c r="A1413">
        <v>520</v>
      </c>
      <c r="B1413" t="s">
        <v>7</v>
      </c>
      <c r="C1413" t="s">
        <v>36</v>
      </c>
      <c r="D1413">
        <v>151</v>
      </c>
      <c r="E1413" t="s">
        <v>572</v>
      </c>
    </row>
    <row r="1414" spans="1:5" x14ac:dyDescent="0.3">
      <c r="A1414">
        <v>520</v>
      </c>
      <c r="B1414" t="s">
        <v>19</v>
      </c>
      <c r="C1414" t="s">
        <v>65</v>
      </c>
      <c r="D1414">
        <v>5</v>
      </c>
      <c r="E1414" t="s">
        <v>593</v>
      </c>
    </row>
    <row r="1415" spans="1:5" x14ac:dyDescent="0.3">
      <c r="A1415">
        <v>520</v>
      </c>
      <c r="B1415" t="s">
        <v>5</v>
      </c>
      <c r="C1415" t="s">
        <v>36</v>
      </c>
      <c r="D1415">
        <v>1</v>
      </c>
      <c r="E1415" t="s">
        <v>572</v>
      </c>
    </row>
    <row r="1416" spans="1:5" x14ac:dyDescent="0.3">
      <c r="A1416">
        <v>520</v>
      </c>
      <c r="B1416" t="s">
        <v>6</v>
      </c>
      <c r="C1416" t="s">
        <v>36</v>
      </c>
      <c r="D1416">
        <v>151</v>
      </c>
      <c r="E1416" t="s">
        <v>572</v>
      </c>
    </row>
    <row r="1417" spans="1:5" x14ac:dyDescent="0.3">
      <c r="A1417">
        <v>520</v>
      </c>
      <c r="B1417" t="s">
        <v>12</v>
      </c>
      <c r="C1417" t="s">
        <v>37</v>
      </c>
      <c r="D1417">
        <v>1</v>
      </c>
      <c r="E1417" t="s">
        <v>592</v>
      </c>
    </row>
    <row r="1418" spans="1:5" x14ac:dyDescent="0.3">
      <c r="A1418">
        <v>521</v>
      </c>
      <c r="B1418" t="s">
        <v>78</v>
      </c>
      <c r="C1418" t="s">
        <v>37</v>
      </c>
      <c r="D1418">
        <v>0</v>
      </c>
      <c r="E1418" t="s">
        <v>217</v>
      </c>
    </row>
    <row r="1419" spans="1:5" x14ac:dyDescent="0.3">
      <c r="A1419">
        <v>521</v>
      </c>
      <c r="B1419" t="s">
        <v>17</v>
      </c>
      <c r="C1419" t="s">
        <v>37</v>
      </c>
      <c r="D1419">
        <v>0</v>
      </c>
      <c r="E1419" t="s">
        <v>570</v>
      </c>
    </row>
    <row r="1420" spans="1:5" x14ac:dyDescent="0.3">
      <c r="A1420">
        <v>521</v>
      </c>
      <c r="B1420" t="s">
        <v>5</v>
      </c>
      <c r="C1420" t="s">
        <v>36</v>
      </c>
      <c r="D1420">
        <v>0</v>
      </c>
      <c r="E1420" t="s">
        <v>360</v>
      </c>
    </row>
    <row r="1421" spans="1:5" x14ac:dyDescent="0.3">
      <c r="A1421">
        <v>521</v>
      </c>
      <c r="B1421" t="s">
        <v>7</v>
      </c>
      <c r="C1421" t="s">
        <v>36</v>
      </c>
      <c r="D1421">
        <v>146</v>
      </c>
      <c r="E1421" t="s">
        <v>572</v>
      </c>
    </row>
    <row r="1422" spans="1:5" x14ac:dyDescent="0.3">
      <c r="A1422">
        <v>521</v>
      </c>
      <c r="B1422" t="s">
        <v>6</v>
      </c>
      <c r="C1422" t="s">
        <v>36</v>
      </c>
      <c r="D1422">
        <v>146</v>
      </c>
      <c r="E1422" t="s">
        <v>572</v>
      </c>
    </row>
    <row r="1423" spans="1:5" x14ac:dyDescent="0.3">
      <c r="A1423">
        <v>521</v>
      </c>
      <c r="B1423" t="s">
        <v>33</v>
      </c>
      <c r="C1423" t="s">
        <v>68</v>
      </c>
      <c r="D1423">
        <v>1</v>
      </c>
      <c r="E1423" t="s">
        <v>513</v>
      </c>
    </row>
    <row r="1424" spans="1:5" x14ac:dyDescent="0.3">
      <c r="A1424">
        <v>521</v>
      </c>
      <c r="B1424" t="s">
        <v>74</v>
      </c>
      <c r="C1424" t="s">
        <v>65</v>
      </c>
      <c r="D1424">
        <v>1</v>
      </c>
      <c r="E1424" t="s">
        <v>571</v>
      </c>
    </row>
    <row r="1425" spans="1:5" x14ac:dyDescent="0.3">
      <c r="A1425">
        <v>521</v>
      </c>
      <c r="B1425" t="s">
        <v>26</v>
      </c>
      <c r="C1425" t="s">
        <v>84</v>
      </c>
      <c r="D1425">
        <v>1</v>
      </c>
      <c r="E1425" t="s">
        <v>571</v>
      </c>
    </row>
    <row r="1426" spans="1:5" x14ac:dyDescent="0.3">
      <c r="A1426">
        <v>522</v>
      </c>
      <c r="B1426" t="s">
        <v>76</v>
      </c>
      <c r="C1426" t="s">
        <v>68</v>
      </c>
      <c r="D1426">
        <v>3</v>
      </c>
      <c r="E1426" t="s">
        <v>572</v>
      </c>
    </row>
    <row r="1427" spans="1:5" x14ac:dyDescent="0.3">
      <c r="A1427">
        <v>522</v>
      </c>
      <c r="B1427" t="s">
        <v>78</v>
      </c>
      <c r="C1427" t="s">
        <v>37</v>
      </c>
      <c r="D1427">
        <v>1</v>
      </c>
      <c r="E1427" t="s">
        <v>217</v>
      </c>
    </row>
    <row r="1428" spans="1:5" x14ac:dyDescent="0.3">
      <c r="A1428">
        <v>522</v>
      </c>
      <c r="B1428" t="s">
        <v>77</v>
      </c>
      <c r="C1428" t="s">
        <v>65</v>
      </c>
      <c r="D1428">
        <v>1</v>
      </c>
      <c r="E1428" t="s">
        <v>594</v>
      </c>
    </row>
    <row r="1429" spans="1:5" x14ac:dyDescent="0.3">
      <c r="A1429">
        <v>522</v>
      </c>
      <c r="B1429" t="s">
        <v>74</v>
      </c>
      <c r="C1429" t="s">
        <v>65</v>
      </c>
      <c r="D1429">
        <v>1</v>
      </c>
      <c r="E1429" t="s">
        <v>571</v>
      </c>
    </row>
    <row r="1430" spans="1:5" x14ac:dyDescent="0.3">
      <c r="A1430">
        <v>522</v>
      </c>
      <c r="B1430" t="s">
        <v>33</v>
      </c>
      <c r="C1430" t="s">
        <v>68</v>
      </c>
      <c r="D1430">
        <v>1</v>
      </c>
      <c r="E1430" t="s">
        <v>217</v>
      </c>
    </row>
    <row r="1431" spans="1:5" x14ac:dyDescent="0.3">
      <c r="A1431">
        <v>522</v>
      </c>
      <c r="B1431" t="s">
        <v>80</v>
      </c>
      <c r="C1431" t="s">
        <v>68</v>
      </c>
      <c r="D1431">
        <v>1</v>
      </c>
      <c r="E1431" t="s">
        <v>613</v>
      </c>
    </row>
    <row r="1432" spans="1:5" x14ac:dyDescent="0.3">
      <c r="A1432">
        <v>522</v>
      </c>
      <c r="B1432" t="s">
        <v>5</v>
      </c>
      <c r="C1432" t="s">
        <v>36</v>
      </c>
      <c r="D1432">
        <v>1</v>
      </c>
      <c r="E1432" t="s">
        <v>587</v>
      </c>
    </row>
    <row r="1433" spans="1:5" x14ac:dyDescent="0.3">
      <c r="A1433">
        <v>522</v>
      </c>
      <c r="B1433" t="s">
        <v>7</v>
      </c>
      <c r="C1433" t="s">
        <v>36</v>
      </c>
      <c r="D1433">
        <v>119</v>
      </c>
      <c r="E1433" t="s">
        <v>572</v>
      </c>
    </row>
    <row r="1434" spans="1:5" x14ac:dyDescent="0.3">
      <c r="A1434">
        <v>522</v>
      </c>
      <c r="B1434" t="s">
        <v>6</v>
      </c>
      <c r="C1434" t="s">
        <v>36</v>
      </c>
      <c r="D1434">
        <v>119</v>
      </c>
      <c r="E1434" t="s">
        <v>572</v>
      </c>
    </row>
    <row r="1435" spans="1:5" x14ac:dyDescent="0.3">
      <c r="A1435">
        <v>523</v>
      </c>
      <c r="B1435" t="s">
        <v>80</v>
      </c>
      <c r="C1435" t="s">
        <v>68</v>
      </c>
      <c r="D1435">
        <v>17</v>
      </c>
      <c r="E1435" t="s">
        <v>612</v>
      </c>
    </row>
    <row r="1436" spans="1:5" x14ac:dyDescent="0.3">
      <c r="A1436">
        <v>523</v>
      </c>
      <c r="B1436" t="s">
        <v>6</v>
      </c>
      <c r="C1436" t="s">
        <v>36</v>
      </c>
      <c r="D1436">
        <v>112</v>
      </c>
      <c r="E1436" t="s">
        <v>572</v>
      </c>
    </row>
    <row r="1437" spans="1:5" x14ac:dyDescent="0.3">
      <c r="A1437">
        <v>523</v>
      </c>
      <c r="B1437" t="s">
        <v>7</v>
      </c>
      <c r="C1437" t="s">
        <v>36</v>
      </c>
      <c r="D1437">
        <v>7</v>
      </c>
      <c r="E1437" t="s">
        <v>595</v>
      </c>
    </row>
    <row r="1438" spans="1:5" x14ac:dyDescent="0.3">
      <c r="A1438">
        <v>523</v>
      </c>
      <c r="B1438" t="s">
        <v>5</v>
      </c>
      <c r="C1438" t="s">
        <v>36</v>
      </c>
      <c r="D1438">
        <v>1</v>
      </c>
      <c r="E1438" t="s">
        <v>355</v>
      </c>
    </row>
    <row r="1439" spans="1:5" x14ac:dyDescent="0.3">
      <c r="A1439">
        <v>523</v>
      </c>
      <c r="B1439" t="s">
        <v>28</v>
      </c>
      <c r="C1439" t="s">
        <v>68</v>
      </c>
      <c r="D1439">
        <v>0</v>
      </c>
      <c r="E1439" t="s">
        <v>217</v>
      </c>
    </row>
    <row r="1440" spans="1:5" x14ac:dyDescent="0.3">
      <c r="A1440">
        <v>523</v>
      </c>
      <c r="B1440" t="s">
        <v>33</v>
      </c>
      <c r="C1440" t="s">
        <v>68</v>
      </c>
      <c r="D1440">
        <v>1</v>
      </c>
      <c r="E1440" t="s">
        <v>513</v>
      </c>
    </row>
    <row r="1441" spans="1:5" x14ac:dyDescent="0.3">
      <c r="A1441">
        <v>523</v>
      </c>
      <c r="B1441" t="s">
        <v>74</v>
      </c>
      <c r="C1441" t="s">
        <v>65</v>
      </c>
      <c r="D1441">
        <v>1</v>
      </c>
      <c r="E1441" t="s">
        <v>598</v>
      </c>
    </row>
    <row r="1442" spans="1:5" x14ac:dyDescent="0.3">
      <c r="A1442">
        <v>523</v>
      </c>
      <c r="B1442" t="s">
        <v>78</v>
      </c>
      <c r="C1442" t="s">
        <v>37</v>
      </c>
      <c r="D1442">
        <v>4</v>
      </c>
      <c r="E1442" t="s">
        <v>572</v>
      </c>
    </row>
    <row r="1443" spans="1:5" x14ac:dyDescent="0.3">
      <c r="A1443">
        <v>523</v>
      </c>
      <c r="B1443" t="s">
        <v>76</v>
      </c>
      <c r="C1443" t="s">
        <v>68</v>
      </c>
      <c r="D1443">
        <v>1</v>
      </c>
      <c r="E1443" t="s">
        <v>513</v>
      </c>
    </row>
    <row r="1444" spans="1:5" x14ac:dyDescent="0.3">
      <c r="A1444">
        <v>523</v>
      </c>
      <c r="B1444" t="s">
        <v>23</v>
      </c>
      <c r="C1444" t="s">
        <v>65</v>
      </c>
      <c r="D1444">
        <v>-2</v>
      </c>
      <c r="E1444" t="s">
        <v>524</v>
      </c>
    </row>
    <row r="1445" spans="1:5" x14ac:dyDescent="0.3">
      <c r="A1445">
        <v>524</v>
      </c>
      <c r="B1445" t="s">
        <v>6</v>
      </c>
      <c r="C1445" t="s">
        <v>36</v>
      </c>
      <c r="D1445">
        <v>92</v>
      </c>
      <c r="E1445" t="s">
        <v>572</v>
      </c>
    </row>
    <row r="1446" spans="1:5" x14ac:dyDescent="0.3">
      <c r="A1446">
        <v>524</v>
      </c>
      <c r="B1446" t="s">
        <v>5</v>
      </c>
      <c r="C1446" t="s">
        <v>36</v>
      </c>
      <c r="D1446">
        <v>1</v>
      </c>
      <c r="E1446" t="s">
        <v>587</v>
      </c>
    </row>
    <row r="1447" spans="1:5" x14ac:dyDescent="0.3">
      <c r="A1447">
        <v>524</v>
      </c>
      <c r="B1447" t="s">
        <v>3</v>
      </c>
      <c r="C1447" t="s">
        <v>37</v>
      </c>
      <c r="D1447">
        <v>1</v>
      </c>
      <c r="E1447" t="s">
        <v>614</v>
      </c>
    </row>
    <row r="1448" spans="1:5" x14ac:dyDescent="0.3">
      <c r="A1448">
        <v>524</v>
      </c>
      <c r="B1448" t="s">
        <v>80</v>
      </c>
      <c r="C1448" t="s">
        <v>68</v>
      </c>
      <c r="D1448">
        <v>14</v>
      </c>
      <c r="E1448" t="s">
        <v>140</v>
      </c>
    </row>
    <row r="1449" spans="1:5" x14ac:dyDescent="0.3">
      <c r="A1449">
        <v>524</v>
      </c>
      <c r="B1449" t="s">
        <v>33</v>
      </c>
      <c r="C1449" t="s">
        <v>68</v>
      </c>
      <c r="D1449">
        <v>1</v>
      </c>
      <c r="E1449" t="s">
        <v>217</v>
      </c>
    </row>
    <row r="1450" spans="1:5" x14ac:dyDescent="0.3">
      <c r="A1450">
        <v>524</v>
      </c>
      <c r="B1450" t="s">
        <v>74</v>
      </c>
      <c r="C1450" t="s">
        <v>65</v>
      </c>
      <c r="D1450">
        <v>2</v>
      </c>
      <c r="E1450" t="s">
        <v>217</v>
      </c>
    </row>
    <row r="1451" spans="1:5" x14ac:dyDescent="0.3">
      <c r="A1451">
        <v>524</v>
      </c>
      <c r="B1451" t="s">
        <v>7</v>
      </c>
      <c r="C1451" t="s">
        <v>36</v>
      </c>
      <c r="D1451">
        <v>92</v>
      </c>
      <c r="E1451" t="s">
        <v>572</v>
      </c>
    </row>
    <row r="1452" spans="1:5" x14ac:dyDescent="0.3">
      <c r="A1452">
        <v>524</v>
      </c>
      <c r="B1452" t="s">
        <v>77</v>
      </c>
      <c r="C1452" t="s">
        <v>65</v>
      </c>
      <c r="D1452">
        <v>0</v>
      </c>
      <c r="E1452" t="s">
        <v>571</v>
      </c>
    </row>
    <row r="1453" spans="1:5" x14ac:dyDescent="0.3">
      <c r="A1453">
        <v>524</v>
      </c>
      <c r="B1453" t="s">
        <v>78</v>
      </c>
      <c r="C1453" t="s">
        <v>37</v>
      </c>
      <c r="D1453">
        <v>1</v>
      </c>
      <c r="E1453" t="s">
        <v>571</v>
      </c>
    </row>
    <row r="1454" spans="1:5" x14ac:dyDescent="0.3">
      <c r="A1454">
        <v>524</v>
      </c>
      <c r="B1454" t="s">
        <v>76</v>
      </c>
      <c r="C1454" t="s">
        <v>68</v>
      </c>
      <c r="D1454">
        <v>1</v>
      </c>
      <c r="E1454" t="s">
        <v>571</v>
      </c>
    </row>
    <row r="1455" spans="1:5" x14ac:dyDescent="0.3">
      <c r="A1455">
        <v>525</v>
      </c>
      <c r="B1455" t="s">
        <v>6</v>
      </c>
      <c r="C1455" t="s">
        <v>36</v>
      </c>
      <c r="D1455">
        <v>88</v>
      </c>
      <c r="E1455" t="s">
        <v>572</v>
      </c>
    </row>
    <row r="1456" spans="1:5" x14ac:dyDescent="0.3">
      <c r="A1456">
        <v>525</v>
      </c>
      <c r="B1456" t="s">
        <v>78</v>
      </c>
      <c r="C1456" t="s">
        <v>37</v>
      </c>
      <c r="D1456">
        <v>1</v>
      </c>
      <c r="E1456" t="s">
        <v>599</v>
      </c>
    </row>
    <row r="1457" spans="1:5" x14ac:dyDescent="0.3">
      <c r="A1457">
        <v>525</v>
      </c>
      <c r="B1457" t="s">
        <v>74</v>
      </c>
      <c r="C1457" t="s">
        <v>65</v>
      </c>
      <c r="D1457">
        <v>1</v>
      </c>
      <c r="E1457" t="s">
        <v>571</v>
      </c>
    </row>
    <row r="1458" spans="1:5" x14ac:dyDescent="0.3">
      <c r="A1458">
        <v>525</v>
      </c>
      <c r="B1458" t="s">
        <v>7</v>
      </c>
      <c r="C1458" t="s">
        <v>36</v>
      </c>
      <c r="D1458">
        <v>88</v>
      </c>
      <c r="E1458" t="s">
        <v>572</v>
      </c>
    </row>
    <row r="1459" spans="1:5" x14ac:dyDescent="0.3">
      <c r="A1459">
        <v>525</v>
      </c>
      <c r="B1459" t="s">
        <v>5</v>
      </c>
      <c r="C1459" t="s">
        <v>36</v>
      </c>
      <c r="D1459">
        <v>1</v>
      </c>
      <c r="E1459" t="s">
        <v>447</v>
      </c>
    </row>
    <row r="1460" spans="1:5" x14ac:dyDescent="0.3">
      <c r="A1460">
        <v>526</v>
      </c>
      <c r="B1460" t="s">
        <v>6</v>
      </c>
      <c r="C1460" t="s">
        <v>36</v>
      </c>
      <c r="D1460">
        <v>45</v>
      </c>
      <c r="E1460" t="s">
        <v>572</v>
      </c>
    </row>
    <row r="1461" spans="1:5" x14ac:dyDescent="0.3">
      <c r="A1461">
        <v>526</v>
      </c>
      <c r="B1461" t="s">
        <v>7</v>
      </c>
      <c r="C1461" t="s">
        <v>36</v>
      </c>
      <c r="D1461">
        <v>45</v>
      </c>
      <c r="E1461" t="s">
        <v>572</v>
      </c>
    </row>
    <row r="1462" spans="1:5" x14ac:dyDescent="0.3">
      <c r="A1462">
        <v>526</v>
      </c>
      <c r="B1462" t="s">
        <v>4</v>
      </c>
      <c r="C1462" t="s">
        <v>36</v>
      </c>
      <c r="D1462">
        <v>0</v>
      </c>
      <c r="E1462" t="s">
        <v>140</v>
      </c>
    </row>
    <row r="1463" spans="1:5" x14ac:dyDescent="0.3">
      <c r="A1463">
        <v>526</v>
      </c>
      <c r="B1463" t="s">
        <v>5</v>
      </c>
      <c r="C1463" t="s">
        <v>36</v>
      </c>
      <c r="D1463">
        <v>1</v>
      </c>
      <c r="E1463" t="s">
        <v>355</v>
      </c>
    </row>
    <row r="1464" spans="1:5" x14ac:dyDescent="0.3">
      <c r="A1464">
        <v>527</v>
      </c>
      <c r="B1464" t="s">
        <v>12</v>
      </c>
      <c r="C1464" t="s">
        <v>37</v>
      </c>
      <c r="D1464">
        <v>1</v>
      </c>
      <c r="E1464" t="s">
        <v>572</v>
      </c>
    </row>
    <row r="1465" spans="1:5" x14ac:dyDescent="0.3">
      <c r="A1465">
        <v>527</v>
      </c>
      <c r="B1465" t="s">
        <v>6</v>
      </c>
      <c r="C1465" t="s">
        <v>36</v>
      </c>
      <c r="D1465">
        <v>27</v>
      </c>
      <c r="E1465" t="s">
        <v>572</v>
      </c>
    </row>
    <row r="1466" spans="1:5" x14ac:dyDescent="0.3">
      <c r="A1466">
        <v>527</v>
      </c>
      <c r="B1466" t="s">
        <v>78</v>
      </c>
      <c r="C1466" t="s">
        <v>37</v>
      </c>
      <c r="D1466">
        <v>1</v>
      </c>
      <c r="E1466" t="s">
        <v>524</v>
      </c>
    </row>
    <row r="1467" spans="1:5" x14ac:dyDescent="0.3">
      <c r="A1467">
        <v>527</v>
      </c>
      <c r="B1467" t="s">
        <v>77</v>
      </c>
      <c r="C1467" t="s">
        <v>65</v>
      </c>
      <c r="D1467">
        <v>0</v>
      </c>
      <c r="E1467" t="s">
        <v>571</v>
      </c>
    </row>
    <row r="1468" spans="1:5" x14ac:dyDescent="0.3">
      <c r="A1468">
        <v>527</v>
      </c>
      <c r="B1468" t="s">
        <v>76</v>
      </c>
      <c r="C1468" t="s">
        <v>68</v>
      </c>
      <c r="D1468">
        <v>1</v>
      </c>
      <c r="E1468" t="s">
        <v>137</v>
      </c>
    </row>
    <row r="1469" spans="1:5" x14ac:dyDescent="0.3">
      <c r="A1469">
        <v>527</v>
      </c>
      <c r="B1469" t="s">
        <v>74</v>
      </c>
      <c r="C1469" t="s">
        <v>65</v>
      </c>
      <c r="D1469">
        <v>1</v>
      </c>
      <c r="E1469" t="s">
        <v>603</v>
      </c>
    </row>
    <row r="1470" spans="1:5" x14ac:dyDescent="0.3">
      <c r="A1470">
        <v>527</v>
      </c>
      <c r="B1470" t="s">
        <v>80</v>
      </c>
      <c r="C1470" t="s">
        <v>68</v>
      </c>
      <c r="D1470">
        <v>2</v>
      </c>
      <c r="E1470" t="s">
        <v>641</v>
      </c>
    </row>
    <row r="1471" spans="1:5" x14ac:dyDescent="0.3">
      <c r="A1471">
        <v>527</v>
      </c>
      <c r="B1471" t="s">
        <v>3</v>
      </c>
      <c r="C1471" t="s">
        <v>37</v>
      </c>
      <c r="D1471">
        <v>1</v>
      </c>
      <c r="E1471" t="s">
        <v>615</v>
      </c>
    </row>
    <row r="1472" spans="1:5" x14ac:dyDescent="0.3">
      <c r="A1472">
        <v>527</v>
      </c>
      <c r="B1472" t="s">
        <v>5</v>
      </c>
      <c r="C1472" t="s">
        <v>36</v>
      </c>
      <c r="D1472">
        <v>1</v>
      </c>
      <c r="E1472" t="s">
        <v>600</v>
      </c>
    </row>
    <row r="1473" spans="1:5" x14ac:dyDescent="0.3">
      <c r="A1473">
        <v>527</v>
      </c>
      <c r="B1473" t="s">
        <v>11</v>
      </c>
      <c r="C1473" t="s">
        <v>37</v>
      </c>
      <c r="D1473">
        <v>1</v>
      </c>
      <c r="E1473" t="s">
        <v>616</v>
      </c>
    </row>
    <row r="1474" spans="1:5" x14ac:dyDescent="0.3">
      <c r="A1474">
        <v>527</v>
      </c>
      <c r="B1474" t="s">
        <v>7</v>
      </c>
      <c r="C1474" t="s">
        <v>36</v>
      </c>
      <c r="D1474">
        <v>27</v>
      </c>
      <c r="E1474" t="s">
        <v>572</v>
      </c>
    </row>
    <row r="1475" spans="1:5" x14ac:dyDescent="0.3">
      <c r="A1475">
        <v>528</v>
      </c>
      <c r="B1475" t="s">
        <v>29</v>
      </c>
      <c r="C1475" t="s">
        <v>68</v>
      </c>
      <c r="D1475">
        <v>0</v>
      </c>
      <c r="E1475" t="s">
        <v>217</v>
      </c>
    </row>
    <row r="1476" spans="1:5" x14ac:dyDescent="0.3">
      <c r="A1476">
        <v>528</v>
      </c>
      <c r="B1476" t="s">
        <v>80</v>
      </c>
      <c r="C1476" t="s">
        <v>68</v>
      </c>
      <c r="D1476">
        <v>6</v>
      </c>
      <c r="E1476" t="s">
        <v>663</v>
      </c>
    </row>
    <row r="1477" spans="1:5" x14ac:dyDescent="0.3">
      <c r="A1477">
        <v>528</v>
      </c>
      <c r="B1477" t="s">
        <v>4</v>
      </c>
      <c r="C1477" t="s">
        <v>36</v>
      </c>
      <c r="D1477">
        <v>0</v>
      </c>
      <c r="E1477" t="s">
        <v>263</v>
      </c>
    </row>
    <row r="1478" spans="1:5" x14ac:dyDescent="0.3">
      <c r="A1478">
        <v>528</v>
      </c>
      <c r="B1478" t="s">
        <v>33</v>
      </c>
      <c r="C1478" t="s">
        <v>68</v>
      </c>
      <c r="D1478">
        <v>1</v>
      </c>
      <c r="E1478" t="s">
        <v>217</v>
      </c>
    </row>
    <row r="1479" spans="1:5" x14ac:dyDescent="0.3">
      <c r="A1479">
        <v>528</v>
      </c>
      <c r="B1479" t="s">
        <v>5</v>
      </c>
      <c r="C1479" t="s">
        <v>36</v>
      </c>
      <c r="D1479">
        <v>1</v>
      </c>
      <c r="E1479" t="s">
        <v>601</v>
      </c>
    </row>
    <row r="1480" spans="1:5" x14ac:dyDescent="0.3">
      <c r="A1480">
        <v>528</v>
      </c>
      <c r="B1480" t="s">
        <v>12</v>
      </c>
      <c r="C1480" t="s">
        <v>37</v>
      </c>
      <c r="D1480">
        <v>4</v>
      </c>
      <c r="E1480" t="s">
        <v>610</v>
      </c>
    </row>
    <row r="1481" spans="1:5" x14ac:dyDescent="0.3">
      <c r="A1481">
        <v>528</v>
      </c>
      <c r="B1481" t="s">
        <v>28</v>
      </c>
      <c r="C1481" t="s">
        <v>68</v>
      </c>
      <c r="D1481">
        <v>4</v>
      </c>
      <c r="E1481" t="s">
        <v>617</v>
      </c>
    </row>
    <row r="1482" spans="1:5" x14ac:dyDescent="0.3">
      <c r="A1482">
        <v>528</v>
      </c>
      <c r="B1482" t="s">
        <v>19</v>
      </c>
      <c r="C1482" t="s">
        <v>65</v>
      </c>
      <c r="D1482">
        <v>7</v>
      </c>
      <c r="E1482" t="s">
        <v>622</v>
      </c>
    </row>
    <row r="1483" spans="1:5" x14ac:dyDescent="0.3">
      <c r="A1483">
        <v>528</v>
      </c>
      <c r="B1483" t="s">
        <v>76</v>
      </c>
      <c r="C1483" t="s">
        <v>68</v>
      </c>
      <c r="D1483">
        <v>5</v>
      </c>
      <c r="E1483" t="s">
        <v>620</v>
      </c>
    </row>
    <row r="1484" spans="1:5" x14ac:dyDescent="0.3">
      <c r="A1484">
        <v>528</v>
      </c>
      <c r="B1484" t="s">
        <v>74</v>
      </c>
      <c r="C1484" t="s">
        <v>65</v>
      </c>
      <c r="D1484">
        <v>11</v>
      </c>
      <c r="E1484" t="s">
        <v>619</v>
      </c>
    </row>
    <row r="1485" spans="1:5" x14ac:dyDescent="0.3">
      <c r="A1485">
        <v>528</v>
      </c>
      <c r="B1485" t="s">
        <v>6</v>
      </c>
      <c r="C1485" t="s">
        <v>36</v>
      </c>
      <c r="D1485">
        <v>4</v>
      </c>
      <c r="E1485" t="s">
        <v>572</v>
      </c>
    </row>
    <row r="1486" spans="1:5" x14ac:dyDescent="0.3">
      <c r="A1486">
        <v>528</v>
      </c>
      <c r="B1486" t="s">
        <v>7</v>
      </c>
      <c r="C1486" t="s">
        <v>36</v>
      </c>
      <c r="D1486">
        <v>4</v>
      </c>
      <c r="E1486" t="s">
        <v>604</v>
      </c>
    </row>
    <row r="1487" spans="1:5" x14ac:dyDescent="0.3">
      <c r="A1487">
        <v>528</v>
      </c>
      <c r="B1487" t="s">
        <v>77</v>
      </c>
      <c r="C1487" t="s">
        <v>65</v>
      </c>
      <c r="D1487">
        <v>5</v>
      </c>
      <c r="E1487" t="s">
        <v>621</v>
      </c>
    </row>
    <row r="1488" spans="1:5" x14ac:dyDescent="0.3">
      <c r="A1488">
        <v>528</v>
      </c>
      <c r="B1488" t="s">
        <v>78</v>
      </c>
      <c r="C1488" t="s">
        <v>37</v>
      </c>
      <c r="D1488">
        <v>1</v>
      </c>
      <c r="E1488" t="s">
        <v>618</v>
      </c>
    </row>
    <row r="1489" spans="1:5" x14ac:dyDescent="0.3">
      <c r="A1489">
        <v>529</v>
      </c>
      <c r="B1489" t="s">
        <v>74</v>
      </c>
      <c r="C1489" t="s">
        <v>65</v>
      </c>
      <c r="D1489">
        <v>1</v>
      </c>
      <c r="E1489" t="s">
        <v>140</v>
      </c>
    </row>
    <row r="1490" spans="1:5" x14ac:dyDescent="0.3">
      <c r="A1490">
        <v>529</v>
      </c>
      <c r="B1490" t="s">
        <v>6</v>
      </c>
      <c r="C1490" t="s">
        <v>36</v>
      </c>
      <c r="D1490">
        <v>4</v>
      </c>
      <c r="E1490" t="s">
        <v>572</v>
      </c>
    </row>
    <row r="1491" spans="1:5" x14ac:dyDescent="0.3">
      <c r="A1491">
        <v>529</v>
      </c>
      <c r="B1491" t="s">
        <v>7</v>
      </c>
      <c r="C1491" t="s">
        <v>36</v>
      </c>
      <c r="D1491">
        <v>4</v>
      </c>
      <c r="E1491" t="s">
        <v>572</v>
      </c>
    </row>
    <row r="1492" spans="1:5" x14ac:dyDescent="0.3">
      <c r="A1492">
        <v>529</v>
      </c>
      <c r="B1492" t="s">
        <v>76</v>
      </c>
      <c r="C1492" t="s">
        <v>68</v>
      </c>
      <c r="D1492">
        <v>1</v>
      </c>
      <c r="E1492" t="s">
        <v>217</v>
      </c>
    </row>
    <row r="1493" spans="1:5" x14ac:dyDescent="0.3">
      <c r="A1493">
        <v>529</v>
      </c>
      <c r="B1493" t="s">
        <v>77</v>
      </c>
      <c r="C1493" t="s">
        <v>65</v>
      </c>
      <c r="D1493">
        <v>4</v>
      </c>
      <c r="E1493" t="s">
        <v>623</v>
      </c>
    </row>
    <row r="1494" spans="1:5" x14ac:dyDescent="0.3">
      <c r="A1494">
        <v>529</v>
      </c>
      <c r="B1494" t="s">
        <v>33</v>
      </c>
      <c r="C1494" t="s">
        <v>68</v>
      </c>
      <c r="D1494">
        <v>0</v>
      </c>
      <c r="E1494" t="s">
        <v>524</v>
      </c>
    </row>
    <row r="1495" spans="1:5" x14ac:dyDescent="0.3">
      <c r="A1495">
        <v>529</v>
      </c>
      <c r="B1495" t="s">
        <v>80</v>
      </c>
      <c r="C1495" t="s">
        <v>68</v>
      </c>
      <c r="D1495">
        <v>3</v>
      </c>
      <c r="E1495" t="s">
        <v>642</v>
      </c>
    </row>
    <row r="1496" spans="1:5" x14ac:dyDescent="0.3">
      <c r="A1496">
        <v>529</v>
      </c>
      <c r="B1496" t="s">
        <v>31</v>
      </c>
      <c r="C1496" t="s">
        <v>68</v>
      </c>
      <c r="D1496">
        <v>10</v>
      </c>
      <c r="E1496" t="s">
        <v>643</v>
      </c>
    </row>
    <row r="1497" spans="1:5" x14ac:dyDescent="0.3">
      <c r="A1497">
        <v>529</v>
      </c>
      <c r="B1497" t="s">
        <v>29</v>
      </c>
      <c r="C1497" t="s">
        <v>68</v>
      </c>
      <c r="D1497">
        <v>0</v>
      </c>
      <c r="E1497" t="s">
        <v>571</v>
      </c>
    </row>
    <row r="1498" spans="1:5" x14ac:dyDescent="0.3">
      <c r="A1498">
        <v>529</v>
      </c>
      <c r="B1498" t="s">
        <v>17</v>
      </c>
      <c r="C1498" t="s">
        <v>37</v>
      </c>
      <c r="D1498">
        <v>0</v>
      </c>
      <c r="E1498" t="s">
        <v>611</v>
      </c>
    </row>
    <row r="1499" spans="1:5" x14ac:dyDescent="0.3">
      <c r="A1499">
        <v>529</v>
      </c>
      <c r="B1499" t="s">
        <v>12</v>
      </c>
      <c r="C1499" t="s">
        <v>37</v>
      </c>
      <c r="D1499">
        <v>2</v>
      </c>
      <c r="E1499" t="s">
        <v>605</v>
      </c>
    </row>
    <row r="1500" spans="1:5" x14ac:dyDescent="0.3">
      <c r="A1500">
        <v>529</v>
      </c>
      <c r="B1500" t="s">
        <v>5</v>
      </c>
      <c r="C1500" t="s">
        <v>36</v>
      </c>
      <c r="D1500">
        <v>1</v>
      </c>
      <c r="E1500" t="s">
        <v>355</v>
      </c>
    </row>
    <row r="1501" spans="1:5" x14ac:dyDescent="0.3">
      <c r="A1501">
        <v>529</v>
      </c>
      <c r="B1501" t="s">
        <v>78</v>
      </c>
      <c r="C1501" t="s">
        <v>37</v>
      </c>
      <c r="D1501">
        <v>1</v>
      </c>
      <c r="E1501" t="s">
        <v>217</v>
      </c>
    </row>
    <row r="1502" spans="1:5" x14ac:dyDescent="0.3">
      <c r="A1502">
        <v>530</v>
      </c>
      <c r="B1502" t="s">
        <v>7</v>
      </c>
      <c r="C1502" t="s">
        <v>36</v>
      </c>
      <c r="D1502">
        <v>5</v>
      </c>
      <c r="E1502" t="s">
        <v>572</v>
      </c>
    </row>
    <row r="1503" spans="1:5" x14ac:dyDescent="0.3">
      <c r="A1503">
        <v>530</v>
      </c>
      <c r="B1503" t="s">
        <v>24</v>
      </c>
      <c r="C1503" t="s">
        <v>84</v>
      </c>
      <c r="D1503">
        <v>22</v>
      </c>
      <c r="E1503" t="s">
        <v>664</v>
      </c>
    </row>
    <row r="1504" spans="1:5" x14ac:dyDescent="0.3">
      <c r="A1504">
        <v>530</v>
      </c>
      <c r="B1504" t="s">
        <v>76</v>
      </c>
      <c r="C1504" t="s">
        <v>68</v>
      </c>
      <c r="D1504">
        <v>1</v>
      </c>
      <c r="E1504" t="s">
        <v>94</v>
      </c>
    </row>
    <row r="1505" spans="1:5" x14ac:dyDescent="0.3">
      <c r="A1505">
        <v>530</v>
      </c>
      <c r="B1505" t="s">
        <v>78</v>
      </c>
      <c r="C1505" t="s">
        <v>37</v>
      </c>
      <c r="D1505">
        <v>1</v>
      </c>
      <c r="E1505" t="s">
        <v>571</v>
      </c>
    </row>
    <row r="1506" spans="1:5" x14ac:dyDescent="0.3">
      <c r="A1506">
        <v>530</v>
      </c>
      <c r="B1506" t="s">
        <v>80</v>
      </c>
      <c r="C1506" t="s">
        <v>68</v>
      </c>
      <c r="D1506">
        <v>2</v>
      </c>
      <c r="E1506" t="s">
        <v>641</v>
      </c>
    </row>
    <row r="1507" spans="1:5" x14ac:dyDescent="0.3">
      <c r="A1507">
        <v>530</v>
      </c>
      <c r="B1507" t="s">
        <v>23</v>
      </c>
      <c r="C1507" t="s">
        <v>65</v>
      </c>
      <c r="D1507">
        <v>127</v>
      </c>
      <c r="E1507" t="s">
        <v>665</v>
      </c>
    </row>
    <row r="1508" spans="1:5" x14ac:dyDescent="0.3">
      <c r="A1508">
        <v>530</v>
      </c>
      <c r="B1508" t="s">
        <v>21</v>
      </c>
      <c r="C1508" t="s">
        <v>65</v>
      </c>
      <c r="D1508">
        <v>2</v>
      </c>
      <c r="E1508" t="s">
        <v>624</v>
      </c>
    </row>
    <row r="1509" spans="1:5" x14ac:dyDescent="0.3">
      <c r="A1509">
        <v>530</v>
      </c>
      <c r="B1509" t="s">
        <v>9</v>
      </c>
      <c r="C1509" t="s">
        <v>37</v>
      </c>
      <c r="D1509">
        <v>2</v>
      </c>
      <c r="E1509" t="s">
        <v>625</v>
      </c>
    </row>
    <row r="1510" spans="1:5" x14ac:dyDescent="0.3">
      <c r="A1510">
        <v>530</v>
      </c>
      <c r="B1510" t="s">
        <v>5</v>
      </c>
      <c r="C1510" t="s">
        <v>36</v>
      </c>
      <c r="D1510">
        <v>1</v>
      </c>
      <c r="E1510" t="s">
        <v>601</v>
      </c>
    </row>
    <row r="1511" spans="1:5" x14ac:dyDescent="0.3">
      <c r="A1511">
        <v>530</v>
      </c>
      <c r="B1511" t="s">
        <v>6</v>
      </c>
      <c r="C1511" t="s">
        <v>36</v>
      </c>
      <c r="D1511">
        <v>5</v>
      </c>
      <c r="E1511" t="s">
        <v>572</v>
      </c>
    </row>
    <row r="1512" spans="1:5" x14ac:dyDescent="0.3">
      <c r="A1512">
        <v>530</v>
      </c>
      <c r="B1512" t="s">
        <v>8</v>
      </c>
      <c r="C1512" t="s">
        <v>36</v>
      </c>
      <c r="D1512">
        <v>0</v>
      </c>
      <c r="E1512" t="s">
        <v>599</v>
      </c>
    </row>
    <row r="1513" spans="1:5" x14ac:dyDescent="0.3">
      <c r="A1513">
        <v>531</v>
      </c>
      <c r="B1513" t="s">
        <v>21</v>
      </c>
      <c r="C1513" t="s">
        <v>65</v>
      </c>
      <c r="D1513">
        <v>3</v>
      </c>
      <c r="E1513" t="s">
        <v>626</v>
      </c>
    </row>
    <row r="1514" spans="1:5" x14ac:dyDescent="0.3">
      <c r="A1514">
        <v>531</v>
      </c>
      <c r="B1514" t="s">
        <v>76</v>
      </c>
      <c r="C1514" t="s">
        <v>68</v>
      </c>
      <c r="D1514">
        <v>1</v>
      </c>
      <c r="E1514" t="s">
        <v>513</v>
      </c>
    </row>
    <row r="1515" spans="1:5" x14ac:dyDescent="0.3">
      <c r="A1515">
        <v>531</v>
      </c>
      <c r="B1515" t="s">
        <v>78</v>
      </c>
      <c r="C1515" t="s">
        <v>37</v>
      </c>
      <c r="D1515">
        <v>1</v>
      </c>
      <c r="E1515" t="s">
        <v>217</v>
      </c>
    </row>
    <row r="1516" spans="1:5" x14ac:dyDescent="0.3">
      <c r="A1516">
        <v>531</v>
      </c>
      <c r="B1516" t="s">
        <v>74</v>
      </c>
      <c r="C1516" t="s">
        <v>65</v>
      </c>
      <c r="D1516">
        <v>2</v>
      </c>
      <c r="E1516" t="s">
        <v>627</v>
      </c>
    </row>
    <row r="1517" spans="1:5" x14ac:dyDescent="0.3">
      <c r="A1517">
        <v>531</v>
      </c>
      <c r="B1517" t="s">
        <v>33</v>
      </c>
      <c r="C1517" t="s">
        <v>68</v>
      </c>
      <c r="D1517">
        <v>1</v>
      </c>
      <c r="E1517" t="s">
        <v>571</v>
      </c>
    </row>
    <row r="1518" spans="1:5" x14ac:dyDescent="0.3">
      <c r="A1518">
        <v>531</v>
      </c>
      <c r="B1518" t="s">
        <v>5</v>
      </c>
      <c r="C1518" t="s">
        <v>36</v>
      </c>
      <c r="D1518">
        <v>0</v>
      </c>
      <c r="E1518" t="s">
        <v>355</v>
      </c>
    </row>
    <row r="1519" spans="1:5" x14ac:dyDescent="0.3">
      <c r="A1519">
        <v>531</v>
      </c>
      <c r="B1519" t="s">
        <v>19</v>
      </c>
      <c r="C1519" t="s">
        <v>65</v>
      </c>
      <c r="D1519">
        <v>1</v>
      </c>
      <c r="E1519" t="s">
        <v>630</v>
      </c>
    </row>
    <row r="1520" spans="1:5" x14ac:dyDescent="0.3">
      <c r="A1520">
        <v>531</v>
      </c>
      <c r="B1520" t="s">
        <v>12</v>
      </c>
      <c r="C1520" t="s">
        <v>37</v>
      </c>
      <c r="D1520">
        <v>2</v>
      </c>
      <c r="E1520" t="s">
        <v>628</v>
      </c>
    </row>
    <row r="1521" spans="1:5" x14ac:dyDescent="0.3">
      <c r="A1521">
        <v>531</v>
      </c>
      <c r="B1521" t="s">
        <v>10</v>
      </c>
      <c r="C1521" t="s">
        <v>37</v>
      </c>
      <c r="D1521">
        <v>4</v>
      </c>
      <c r="E1521" t="s">
        <v>629</v>
      </c>
    </row>
    <row r="1522" spans="1:5" x14ac:dyDescent="0.3">
      <c r="A1522">
        <v>531</v>
      </c>
      <c r="B1522" t="s">
        <v>80</v>
      </c>
      <c r="C1522" t="s">
        <v>68</v>
      </c>
      <c r="D1522">
        <v>6</v>
      </c>
      <c r="E1522" t="s">
        <v>644</v>
      </c>
    </row>
    <row r="1523" spans="1:5" x14ac:dyDescent="0.3">
      <c r="A1523">
        <v>531</v>
      </c>
      <c r="B1523" t="s">
        <v>31</v>
      </c>
      <c r="C1523" t="s">
        <v>68</v>
      </c>
      <c r="D1523">
        <v>0</v>
      </c>
      <c r="E1523" t="s">
        <v>645</v>
      </c>
    </row>
    <row r="1524" spans="1:5" x14ac:dyDescent="0.3">
      <c r="A1524">
        <v>532</v>
      </c>
      <c r="B1524" t="s">
        <v>74</v>
      </c>
      <c r="C1524" t="s">
        <v>65</v>
      </c>
      <c r="D1524">
        <v>1</v>
      </c>
      <c r="E1524" t="s">
        <v>137</v>
      </c>
    </row>
    <row r="1525" spans="1:5" x14ac:dyDescent="0.3">
      <c r="A1525">
        <v>532</v>
      </c>
      <c r="B1525" t="s">
        <v>76</v>
      </c>
      <c r="C1525" t="s">
        <v>68</v>
      </c>
      <c r="D1525">
        <v>1</v>
      </c>
      <c r="E1525" t="s">
        <v>693</v>
      </c>
    </row>
    <row r="1526" spans="1:5" x14ac:dyDescent="0.3">
      <c r="A1526">
        <v>532</v>
      </c>
      <c r="B1526" t="s">
        <v>77</v>
      </c>
      <c r="C1526" t="s">
        <v>65</v>
      </c>
      <c r="D1526">
        <v>0</v>
      </c>
      <c r="E1526" t="s">
        <v>667</v>
      </c>
    </row>
    <row r="1527" spans="1:5" x14ac:dyDescent="0.3">
      <c r="A1527">
        <v>532</v>
      </c>
      <c r="B1527" t="s">
        <v>33</v>
      </c>
      <c r="C1527" t="s">
        <v>68</v>
      </c>
      <c r="D1527">
        <v>1</v>
      </c>
      <c r="E1527" t="s">
        <v>524</v>
      </c>
    </row>
    <row r="1528" spans="1:5" x14ac:dyDescent="0.3">
      <c r="A1528">
        <v>532</v>
      </c>
      <c r="B1528" t="s">
        <v>21</v>
      </c>
      <c r="C1528" t="s">
        <v>65</v>
      </c>
      <c r="D1528">
        <v>1</v>
      </c>
      <c r="E1528" t="s">
        <v>339</v>
      </c>
    </row>
    <row r="1529" spans="1:5" x14ac:dyDescent="0.3">
      <c r="A1529">
        <v>532</v>
      </c>
      <c r="B1529" t="s">
        <v>12</v>
      </c>
      <c r="C1529" t="s">
        <v>37</v>
      </c>
      <c r="D1529">
        <v>27</v>
      </c>
      <c r="E1529" t="s">
        <v>666</v>
      </c>
    </row>
    <row r="1530" spans="1:5" x14ac:dyDescent="0.3">
      <c r="A1530">
        <v>532</v>
      </c>
      <c r="B1530" t="s">
        <v>9</v>
      </c>
      <c r="C1530" t="s">
        <v>37</v>
      </c>
      <c r="D1530">
        <v>3</v>
      </c>
      <c r="E1530" t="s">
        <v>646</v>
      </c>
    </row>
    <row r="1531" spans="1:5" x14ac:dyDescent="0.3">
      <c r="A1531">
        <v>532</v>
      </c>
      <c r="B1531" t="s">
        <v>5</v>
      </c>
      <c r="C1531" t="s">
        <v>36</v>
      </c>
      <c r="D1531">
        <v>2</v>
      </c>
      <c r="E1531" t="s">
        <v>631</v>
      </c>
    </row>
    <row r="1532" spans="1:5" x14ac:dyDescent="0.3">
      <c r="A1532">
        <v>532</v>
      </c>
      <c r="B1532" t="s">
        <v>4</v>
      </c>
      <c r="C1532" t="s">
        <v>36</v>
      </c>
      <c r="D1532">
        <v>0</v>
      </c>
      <c r="E1532" t="s">
        <v>513</v>
      </c>
    </row>
    <row r="1533" spans="1:5" x14ac:dyDescent="0.3">
      <c r="A1533">
        <v>532</v>
      </c>
      <c r="B1533" t="s">
        <v>28</v>
      </c>
      <c r="C1533" t="s">
        <v>68</v>
      </c>
      <c r="D1533">
        <v>0</v>
      </c>
      <c r="E1533" t="s">
        <v>524</v>
      </c>
    </row>
    <row r="1534" spans="1:5" x14ac:dyDescent="0.3">
      <c r="A1534">
        <v>532</v>
      </c>
      <c r="B1534" t="s">
        <v>78</v>
      </c>
      <c r="C1534" t="s">
        <v>37</v>
      </c>
      <c r="D1534">
        <v>1</v>
      </c>
      <c r="E1534" t="s">
        <v>571</v>
      </c>
    </row>
    <row r="1535" spans="1:5" x14ac:dyDescent="0.3">
      <c r="A1535">
        <v>533</v>
      </c>
      <c r="B1535" t="s">
        <v>9</v>
      </c>
      <c r="C1535" t="s">
        <v>37</v>
      </c>
      <c r="D1535">
        <v>1</v>
      </c>
      <c r="E1535" t="s">
        <v>634</v>
      </c>
    </row>
    <row r="1536" spans="1:5" x14ac:dyDescent="0.3">
      <c r="A1536">
        <v>533</v>
      </c>
      <c r="B1536" t="s">
        <v>80</v>
      </c>
      <c r="C1536" t="s">
        <v>68</v>
      </c>
      <c r="D1536">
        <v>1</v>
      </c>
      <c r="E1536" t="s">
        <v>669</v>
      </c>
    </row>
    <row r="1537" spans="1:5" x14ac:dyDescent="0.3">
      <c r="A1537">
        <v>533</v>
      </c>
      <c r="B1537" t="s">
        <v>76</v>
      </c>
      <c r="C1537" t="s">
        <v>68</v>
      </c>
      <c r="D1537">
        <v>1</v>
      </c>
      <c r="E1537" t="s">
        <v>668</v>
      </c>
    </row>
    <row r="1538" spans="1:5" x14ac:dyDescent="0.3">
      <c r="A1538">
        <v>533</v>
      </c>
      <c r="B1538" t="s">
        <v>78</v>
      </c>
      <c r="C1538" t="s">
        <v>37</v>
      </c>
      <c r="D1538">
        <v>0</v>
      </c>
      <c r="E1538" t="s">
        <v>360</v>
      </c>
    </row>
    <row r="1539" spans="1:5" x14ac:dyDescent="0.3">
      <c r="A1539">
        <v>533</v>
      </c>
      <c r="B1539" t="s">
        <v>31</v>
      </c>
      <c r="C1539" t="s">
        <v>68</v>
      </c>
      <c r="D1539">
        <v>2</v>
      </c>
      <c r="E1539" t="s">
        <v>670</v>
      </c>
    </row>
    <row r="1540" spans="1:5" x14ac:dyDescent="0.3">
      <c r="A1540">
        <v>533</v>
      </c>
      <c r="B1540" t="s">
        <v>28</v>
      </c>
      <c r="C1540" t="s">
        <v>68</v>
      </c>
      <c r="D1540">
        <v>0</v>
      </c>
      <c r="E1540" t="s">
        <v>94</v>
      </c>
    </row>
    <row r="1541" spans="1:5" x14ac:dyDescent="0.3">
      <c r="A1541">
        <v>533</v>
      </c>
      <c r="B1541" t="s">
        <v>23</v>
      </c>
      <c r="C1541" t="s">
        <v>65</v>
      </c>
      <c r="D1541">
        <v>0</v>
      </c>
      <c r="E1541" t="s">
        <v>633</v>
      </c>
    </row>
    <row r="1542" spans="1:5" x14ac:dyDescent="0.3">
      <c r="A1542">
        <v>533</v>
      </c>
      <c r="B1542" t="s">
        <v>10</v>
      </c>
      <c r="C1542" t="s">
        <v>37</v>
      </c>
      <c r="D1542">
        <v>0</v>
      </c>
      <c r="E1542" t="s">
        <v>632</v>
      </c>
    </row>
    <row r="1543" spans="1:5" x14ac:dyDescent="0.3">
      <c r="A1543">
        <v>533</v>
      </c>
      <c r="B1543" t="s">
        <v>5</v>
      </c>
      <c r="C1543" t="s">
        <v>36</v>
      </c>
      <c r="D1543">
        <v>0</v>
      </c>
      <c r="E1543" t="s">
        <v>635</v>
      </c>
    </row>
    <row r="1544" spans="1:5" x14ac:dyDescent="0.3">
      <c r="A1544">
        <v>533</v>
      </c>
      <c r="B1544" t="s">
        <v>20</v>
      </c>
      <c r="C1544" t="s">
        <v>65</v>
      </c>
      <c r="D1544">
        <v>136</v>
      </c>
      <c r="E1544" t="s">
        <v>671</v>
      </c>
    </row>
    <row r="1545" spans="1:5" x14ac:dyDescent="0.3">
      <c r="A1545">
        <v>533</v>
      </c>
      <c r="B1545" t="s">
        <v>29</v>
      </c>
      <c r="C1545" t="s">
        <v>68</v>
      </c>
      <c r="D1545">
        <v>0</v>
      </c>
      <c r="E1545" t="s">
        <v>571</v>
      </c>
    </row>
    <row r="1546" spans="1:5" x14ac:dyDescent="0.3">
      <c r="A1546">
        <v>534</v>
      </c>
      <c r="B1546" t="s">
        <v>8</v>
      </c>
      <c r="C1546" t="s">
        <v>36</v>
      </c>
      <c r="D1546">
        <v>0</v>
      </c>
      <c r="E1546" t="s">
        <v>600</v>
      </c>
    </row>
    <row r="1547" spans="1:5" x14ac:dyDescent="0.3">
      <c r="A1547">
        <v>534</v>
      </c>
      <c r="B1547" t="s">
        <v>76</v>
      </c>
      <c r="C1547" t="s">
        <v>68</v>
      </c>
      <c r="D1547">
        <v>1</v>
      </c>
      <c r="E1547" t="s">
        <v>94</v>
      </c>
    </row>
    <row r="1548" spans="1:5" x14ac:dyDescent="0.3">
      <c r="A1548">
        <v>534</v>
      </c>
      <c r="B1548" t="s">
        <v>78</v>
      </c>
      <c r="C1548" t="s">
        <v>37</v>
      </c>
      <c r="D1548">
        <v>0</v>
      </c>
      <c r="E1548" t="s">
        <v>571</v>
      </c>
    </row>
    <row r="1549" spans="1:5" x14ac:dyDescent="0.3">
      <c r="A1549">
        <v>534</v>
      </c>
      <c r="B1549" t="s">
        <v>74</v>
      </c>
      <c r="C1549" t="s">
        <v>65</v>
      </c>
      <c r="D1549">
        <v>1</v>
      </c>
      <c r="E1549" t="s">
        <v>340</v>
      </c>
    </row>
    <row r="1550" spans="1:5" x14ac:dyDescent="0.3">
      <c r="A1550">
        <v>534</v>
      </c>
      <c r="B1550" t="s">
        <v>31</v>
      </c>
      <c r="C1550" t="s">
        <v>68</v>
      </c>
      <c r="D1550">
        <v>1</v>
      </c>
      <c r="E1550" t="s">
        <v>672</v>
      </c>
    </row>
    <row r="1551" spans="1:5" x14ac:dyDescent="0.3">
      <c r="A1551">
        <v>534</v>
      </c>
      <c r="B1551" t="s">
        <v>28</v>
      </c>
      <c r="C1551" t="s">
        <v>68</v>
      </c>
      <c r="D1551">
        <v>0</v>
      </c>
      <c r="E1551" t="s">
        <v>94</v>
      </c>
    </row>
    <row r="1552" spans="1:5" x14ac:dyDescent="0.3">
      <c r="A1552">
        <v>534</v>
      </c>
      <c r="B1552" t="s">
        <v>10</v>
      </c>
      <c r="C1552" t="s">
        <v>37</v>
      </c>
      <c r="D1552">
        <v>0</v>
      </c>
      <c r="E1552" t="s">
        <v>457</v>
      </c>
    </row>
    <row r="1553" spans="1:5" x14ac:dyDescent="0.3">
      <c r="A1553">
        <v>534</v>
      </c>
      <c r="B1553" t="s">
        <v>5</v>
      </c>
      <c r="C1553" t="s">
        <v>36</v>
      </c>
      <c r="D1553">
        <v>1</v>
      </c>
      <c r="E1553" t="s">
        <v>637</v>
      </c>
    </row>
    <row r="1554" spans="1:5" x14ac:dyDescent="0.3">
      <c r="A1554">
        <v>534</v>
      </c>
      <c r="B1554" t="s">
        <v>23</v>
      </c>
      <c r="C1554" t="s">
        <v>65</v>
      </c>
      <c r="D1554">
        <v>48</v>
      </c>
      <c r="E1554" t="s">
        <v>647</v>
      </c>
    </row>
    <row r="1555" spans="1:5" x14ac:dyDescent="0.3">
      <c r="A1555">
        <v>534</v>
      </c>
      <c r="B1555" t="s">
        <v>4</v>
      </c>
      <c r="C1555" t="s">
        <v>36</v>
      </c>
      <c r="D1555">
        <v>0</v>
      </c>
      <c r="E1555" t="s">
        <v>636</v>
      </c>
    </row>
    <row r="1556" spans="1:5" x14ac:dyDescent="0.3">
      <c r="A1556">
        <v>535</v>
      </c>
      <c r="B1556" t="s">
        <v>80</v>
      </c>
      <c r="C1556" t="s">
        <v>68</v>
      </c>
      <c r="D1556">
        <v>34</v>
      </c>
      <c r="E1556" t="s">
        <v>387</v>
      </c>
    </row>
    <row r="1557" spans="1:5" x14ac:dyDescent="0.3">
      <c r="A1557">
        <v>535</v>
      </c>
      <c r="B1557" t="s">
        <v>23</v>
      </c>
      <c r="C1557" t="s">
        <v>65</v>
      </c>
      <c r="D1557">
        <v>0</v>
      </c>
      <c r="E1557" t="s">
        <v>236</v>
      </c>
    </row>
    <row r="1558" spans="1:5" x14ac:dyDescent="0.3">
      <c r="A1558">
        <v>535</v>
      </c>
      <c r="B1558" t="s">
        <v>5</v>
      </c>
      <c r="C1558" t="s">
        <v>36</v>
      </c>
      <c r="D1558">
        <v>0</v>
      </c>
      <c r="E1558" t="s">
        <v>637</v>
      </c>
    </row>
    <row r="1559" spans="1:5" x14ac:dyDescent="0.3">
      <c r="A1559">
        <v>535</v>
      </c>
      <c r="B1559" t="s">
        <v>607</v>
      </c>
      <c r="C1559" t="s">
        <v>36</v>
      </c>
      <c r="D1559">
        <v>7</v>
      </c>
      <c r="E1559" t="s">
        <v>638</v>
      </c>
    </row>
    <row r="1560" spans="1:5" x14ac:dyDescent="0.3">
      <c r="A1560">
        <v>535</v>
      </c>
      <c r="B1560" t="s">
        <v>19</v>
      </c>
      <c r="C1560" t="s">
        <v>65</v>
      </c>
      <c r="D1560">
        <v>167</v>
      </c>
      <c r="E1560" t="s">
        <v>694</v>
      </c>
    </row>
    <row r="1561" spans="1:5" x14ac:dyDescent="0.3">
      <c r="A1561">
        <v>535</v>
      </c>
      <c r="B1561" t="s">
        <v>20</v>
      </c>
      <c r="C1561" t="s">
        <v>65</v>
      </c>
      <c r="D1561">
        <v>160</v>
      </c>
      <c r="E1561" t="s">
        <v>695</v>
      </c>
    </row>
    <row r="1562" spans="1:5" x14ac:dyDescent="0.3">
      <c r="A1562">
        <v>535</v>
      </c>
      <c r="B1562" t="s">
        <v>21</v>
      </c>
      <c r="C1562" t="s">
        <v>65</v>
      </c>
      <c r="D1562">
        <v>167</v>
      </c>
      <c r="E1562" t="s">
        <v>694</v>
      </c>
    </row>
    <row r="1563" spans="1:5" x14ac:dyDescent="0.3">
      <c r="A1563">
        <v>535</v>
      </c>
      <c r="B1563" t="s">
        <v>75</v>
      </c>
      <c r="C1563" t="s">
        <v>65</v>
      </c>
      <c r="D1563">
        <v>1</v>
      </c>
      <c r="E1563" t="s">
        <v>375</v>
      </c>
    </row>
    <row r="1564" spans="1:5" x14ac:dyDescent="0.3">
      <c r="A1564">
        <v>535</v>
      </c>
      <c r="B1564" t="s">
        <v>12</v>
      </c>
      <c r="C1564" t="s">
        <v>37</v>
      </c>
      <c r="D1564">
        <v>2</v>
      </c>
      <c r="E1564" t="s">
        <v>639</v>
      </c>
    </row>
    <row r="1565" spans="1:5" x14ac:dyDescent="0.3">
      <c r="A1565">
        <v>535</v>
      </c>
      <c r="B1565" t="s">
        <v>74</v>
      </c>
      <c r="C1565" t="s">
        <v>65</v>
      </c>
      <c r="D1565">
        <v>139</v>
      </c>
      <c r="E1565" t="s">
        <v>694</v>
      </c>
    </row>
    <row r="1566" spans="1:5" x14ac:dyDescent="0.3">
      <c r="A1566">
        <v>536</v>
      </c>
      <c r="B1566" t="s">
        <v>9</v>
      </c>
      <c r="C1566" t="s">
        <v>37</v>
      </c>
      <c r="D1566">
        <v>21</v>
      </c>
      <c r="E1566" t="s">
        <v>652</v>
      </c>
    </row>
    <row r="1567" spans="1:5" x14ac:dyDescent="0.3">
      <c r="A1567">
        <v>536</v>
      </c>
      <c r="B1567" t="s">
        <v>12</v>
      </c>
      <c r="C1567" t="s">
        <v>37</v>
      </c>
      <c r="D1567">
        <v>1</v>
      </c>
      <c r="E1567" t="s">
        <v>651</v>
      </c>
    </row>
    <row r="1568" spans="1:5" x14ac:dyDescent="0.3">
      <c r="A1568">
        <v>536</v>
      </c>
      <c r="B1568" t="s">
        <v>20</v>
      </c>
      <c r="C1568" t="s">
        <v>65</v>
      </c>
      <c r="D1568">
        <v>2</v>
      </c>
      <c r="E1568" t="s">
        <v>648</v>
      </c>
    </row>
    <row r="1569" spans="1:5" x14ac:dyDescent="0.3">
      <c r="A1569">
        <v>536</v>
      </c>
      <c r="B1569" t="s">
        <v>21</v>
      </c>
      <c r="C1569" t="s">
        <v>65</v>
      </c>
      <c r="D1569">
        <v>22</v>
      </c>
      <c r="E1569" t="s">
        <v>650</v>
      </c>
    </row>
    <row r="1570" spans="1:5" x14ac:dyDescent="0.3">
      <c r="A1570">
        <v>536</v>
      </c>
      <c r="B1570" t="s">
        <v>31</v>
      </c>
      <c r="C1570" t="s">
        <v>68</v>
      </c>
      <c r="D1570">
        <v>0</v>
      </c>
      <c r="E1570" t="s">
        <v>217</v>
      </c>
    </row>
    <row r="1571" spans="1:5" x14ac:dyDescent="0.3">
      <c r="A1571">
        <v>536</v>
      </c>
      <c r="B1571" t="s">
        <v>80</v>
      </c>
      <c r="C1571" t="s">
        <v>68</v>
      </c>
      <c r="D1571">
        <v>7</v>
      </c>
      <c r="E1571" t="s">
        <v>649</v>
      </c>
    </row>
    <row r="1572" spans="1:5" x14ac:dyDescent="0.3">
      <c r="A1572">
        <v>536</v>
      </c>
      <c r="B1572" t="s">
        <v>74</v>
      </c>
      <c r="C1572" t="s">
        <v>65</v>
      </c>
      <c r="D1572">
        <v>34</v>
      </c>
      <c r="E1572" t="s">
        <v>653</v>
      </c>
    </row>
    <row r="1573" spans="1:5" x14ac:dyDescent="0.3">
      <c r="A1573">
        <v>536</v>
      </c>
      <c r="B1573" t="s">
        <v>4</v>
      </c>
      <c r="C1573" t="s">
        <v>36</v>
      </c>
      <c r="D1573">
        <v>0</v>
      </c>
      <c r="E1573" t="s">
        <v>637</v>
      </c>
    </row>
    <row r="1574" spans="1:5" x14ac:dyDescent="0.3">
      <c r="A1574">
        <v>536</v>
      </c>
      <c r="B1574" t="s">
        <v>19</v>
      </c>
      <c r="C1574" t="s">
        <v>65</v>
      </c>
      <c r="D1574">
        <v>5</v>
      </c>
      <c r="E1574" t="s">
        <v>571</v>
      </c>
    </row>
    <row r="1575" spans="1:5" x14ac:dyDescent="0.3">
      <c r="A1575">
        <v>537</v>
      </c>
      <c r="B1575" t="s">
        <v>77</v>
      </c>
      <c r="C1575" t="s">
        <v>65</v>
      </c>
      <c r="D1575">
        <v>3</v>
      </c>
      <c r="E1575" t="s">
        <v>677</v>
      </c>
    </row>
    <row r="1576" spans="1:5" x14ac:dyDescent="0.3">
      <c r="A1576">
        <v>537</v>
      </c>
      <c r="B1576" t="s">
        <v>28</v>
      </c>
      <c r="C1576" t="s">
        <v>68</v>
      </c>
      <c r="D1576">
        <v>0</v>
      </c>
      <c r="E1576" t="s">
        <v>94</v>
      </c>
    </row>
    <row r="1577" spans="1:5" x14ac:dyDescent="0.3">
      <c r="A1577">
        <v>537</v>
      </c>
      <c r="B1577" t="s">
        <v>35</v>
      </c>
      <c r="C1577" t="s">
        <v>68</v>
      </c>
      <c r="D1577">
        <v>2</v>
      </c>
      <c r="E1577" t="s">
        <v>674</v>
      </c>
    </row>
    <row r="1578" spans="1:5" x14ac:dyDescent="0.3">
      <c r="A1578">
        <v>537</v>
      </c>
      <c r="B1578" t="s">
        <v>80</v>
      </c>
      <c r="C1578" t="s">
        <v>68</v>
      </c>
      <c r="D1578">
        <v>10</v>
      </c>
      <c r="E1578" t="s">
        <v>673</v>
      </c>
    </row>
    <row r="1579" spans="1:5" x14ac:dyDescent="0.3">
      <c r="A1579">
        <v>537</v>
      </c>
      <c r="B1579" t="s">
        <v>30</v>
      </c>
      <c r="C1579" t="s">
        <v>68</v>
      </c>
      <c r="D1579">
        <v>0</v>
      </c>
      <c r="E1579" t="s">
        <v>236</v>
      </c>
    </row>
    <row r="1580" spans="1:5" x14ac:dyDescent="0.3">
      <c r="A1580">
        <v>537</v>
      </c>
      <c r="B1580" t="s">
        <v>20</v>
      </c>
      <c r="C1580" t="s">
        <v>65</v>
      </c>
      <c r="D1580">
        <v>4</v>
      </c>
      <c r="E1580" t="s">
        <v>655</v>
      </c>
    </row>
    <row r="1581" spans="1:5" x14ac:dyDescent="0.3">
      <c r="A1581">
        <v>537</v>
      </c>
      <c r="B1581" t="s">
        <v>29</v>
      </c>
      <c r="C1581" t="s">
        <v>68</v>
      </c>
      <c r="D1581">
        <v>0</v>
      </c>
      <c r="E1581" t="s">
        <v>94</v>
      </c>
    </row>
    <row r="1582" spans="1:5" x14ac:dyDescent="0.3">
      <c r="A1582">
        <v>537</v>
      </c>
      <c r="B1582" t="s">
        <v>12</v>
      </c>
      <c r="C1582" t="s">
        <v>37</v>
      </c>
      <c r="D1582">
        <v>0</v>
      </c>
      <c r="E1582" t="s">
        <v>339</v>
      </c>
    </row>
    <row r="1583" spans="1:5" x14ac:dyDescent="0.3">
      <c r="A1583">
        <v>537</v>
      </c>
      <c r="B1583" t="s">
        <v>19</v>
      </c>
      <c r="C1583" t="s">
        <v>65</v>
      </c>
      <c r="D1583">
        <v>0</v>
      </c>
      <c r="E1583" t="s">
        <v>654</v>
      </c>
    </row>
    <row r="1584" spans="1:5" x14ac:dyDescent="0.3">
      <c r="A1584">
        <v>537</v>
      </c>
      <c r="B1584" t="s">
        <v>21</v>
      </c>
      <c r="C1584" t="s">
        <v>65</v>
      </c>
      <c r="D1584">
        <v>50</v>
      </c>
      <c r="E1584" t="s">
        <v>676</v>
      </c>
    </row>
    <row r="1585" spans="1:5" x14ac:dyDescent="0.3">
      <c r="A1585">
        <v>537</v>
      </c>
      <c r="B1585" t="s">
        <v>78</v>
      </c>
      <c r="C1585" t="s">
        <v>37</v>
      </c>
      <c r="D1585">
        <v>15</v>
      </c>
      <c r="E1585" t="s">
        <v>656</v>
      </c>
    </row>
    <row r="1586" spans="1:5" x14ac:dyDescent="0.3">
      <c r="A1586">
        <v>537</v>
      </c>
      <c r="B1586" t="s">
        <v>23</v>
      </c>
      <c r="C1586" t="s">
        <v>65</v>
      </c>
      <c r="D1586">
        <v>50</v>
      </c>
      <c r="E1586" t="s">
        <v>675</v>
      </c>
    </row>
    <row r="1587" spans="1:5" x14ac:dyDescent="0.3">
      <c r="A1587">
        <v>538</v>
      </c>
      <c r="B1587" t="s">
        <v>607</v>
      </c>
      <c r="C1587" t="s">
        <v>36</v>
      </c>
      <c r="D1587">
        <v>21</v>
      </c>
      <c r="E1587" t="s">
        <v>640</v>
      </c>
    </row>
    <row r="1588" spans="1:5" x14ac:dyDescent="0.3">
      <c r="A1588">
        <v>538</v>
      </c>
      <c r="B1588" t="s">
        <v>5</v>
      </c>
      <c r="C1588" t="s">
        <v>36</v>
      </c>
      <c r="D1588">
        <v>0</v>
      </c>
      <c r="E1588" t="s">
        <v>635</v>
      </c>
    </row>
    <row r="1589" spans="1:5" x14ac:dyDescent="0.3">
      <c r="A1589">
        <v>538</v>
      </c>
      <c r="B1589" t="s">
        <v>10</v>
      </c>
      <c r="C1589" t="s">
        <v>37</v>
      </c>
      <c r="D1589">
        <v>1</v>
      </c>
      <c r="E1589" t="s">
        <v>657</v>
      </c>
    </row>
    <row r="1590" spans="1:5" x14ac:dyDescent="0.3">
      <c r="A1590">
        <v>538</v>
      </c>
      <c r="B1590" t="s">
        <v>19</v>
      </c>
      <c r="C1590" t="s">
        <v>65</v>
      </c>
      <c r="D1590">
        <v>143</v>
      </c>
      <c r="E1590" t="s">
        <v>696</v>
      </c>
    </row>
    <row r="1591" spans="1:5" x14ac:dyDescent="0.3">
      <c r="A1591">
        <v>538</v>
      </c>
      <c r="B1591" t="s">
        <v>20</v>
      </c>
      <c r="C1591" t="s">
        <v>65</v>
      </c>
      <c r="D1591">
        <v>131</v>
      </c>
      <c r="E1591" t="s">
        <v>697</v>
      </c>
    </row>
    <row r="1592" spans="1:5" x14ac:dyDescent="0.3">
      <c r="A1592">
        <v>538</v>
      </c>
      <c r="B1592" t="s">
        <v>21</v>
      </c>
      <c r="C1592" t="s">
        <v>65</v>
      </c>
      <c r="D1592">
        <v>0</v>
      </c>
      <c r="E1592" t="s">
        <v>658</v>
      </c>
    </row>
    <row r="1593" spans="1:5" x14ac:dyDescent="0.3">
      <c r="A1593">
        <v>538</v>
      </c>
      <c r="B1593" t="s">
        <v>80</v>
      </c>
      <c r="C1593" t="s">
        <v>68</v>
      </c>
      <c r="D1593">
        <v>1</v>
      </c>
      <c r="E1593" t="s">
        <v>676</v>
      </c>
    </row>
    <row r="1594" spans="1:5" x14ac:dyDescent="0.3">
      <c r="A1594">
        <v>538</v>
      </c>
      <c r="B1594" t="s">
        <v>74</v>
      </c>
      <c r="C1594" t="s">
        <v>65</v>
      </c>
      <c r="D1594">
        <v>131</v>
      </c>
      <c r="E1594" t="s">
        <v>696</v>
      </c>
    </row>
    <row r="1595" spans="1:5" x14ac:dyDescent="0.3">
      <c r="A1595">
        <v>539</v>
      </c>
      <c r="B1595" t="s">
        <v>77</v>
      </c>
      <c r="C1595" t="s">
        <v>65</v>
      </c>
      <c r="D1595">
        <v>0</v>
      </c>
      <c r="E1595" t="s">
        <v>524</v>
      </c>
    </row>
    <row r="1596" spans="1:5" x14ac:dyDescent="0.3">
      <c r="A1596">
        <v>539</v>
      </c>
      <c r="B1596" t="s">
        <v>76</v>
      </c>
      <c r="C1596" t="s">
        <v>68</v>
      </c>
      <c r="D1596">
        <v>41</v>
      </c>
      <c r="E1596" t="s">
        <v>753</v>
      </c>
    </row>
    <row r="1597" spans="1:5" x14ac:dyDescent="0.3">
      <c r="A1597">
        <v>539</v>
      </c>
      <c r="B1597" t="s">
        <v>607</v>
      </c>
      <c r="C1597" t="s">
        <v>36</v>
      </c>
      <c r="D1597">
        <v>15</v>
      </c>
      <c r="E1597" t="s">
        <v>659</v>
      </c>
    </row>
    <row r="1598" spans="1:5" x14ac:dyDescent="0.3">
      <c r="A1598">
        <v>539</v>
      </c>
      <c r="B1598" t="s">
        <v>10</v>
      </c>
      <c r="C1598" t="s">
        <v>37</v>
      </c>
      <c r="D1598">
        <v>2</v>
      </c>
      <c r="E1598" t="s">
        <v>764</v>
      </c>
    </row>
    <row r="1599" spans="1:5" x14ac:dyDescent="0.3">
      <c r="A1599">
        <v>539</v>
      </c>
      <c r="B1599" t="s">
        <v>14</v>
      </c>
      <c r="C1599" t="s">
        <v>37</v>
      </c>
      <c r="D1599">
        <v>15</v>
      </c>
      <c r="E1599" t="s">
        <v>753</v>
      </c>
    </row>
    <row r="1600" spans="1:5" x14ac:dyDescent="0.3">
      <c r="A1600">
        <v>539</v>
      </c>
      <c r="B1600" t="s">
        <v>16</v>
      </c>
      <c r="C1600" t="s">
        <v>37</v>
      </c>
      <c r="D1600">
        <v>0</v>
      </c>
      <c r="E1600" t="s">
        <v>399</v>
      </c>
    </row>
    <row r="1601" spans="1:5" x14ac:dyDescent="0.3">
      <c r="A1601">
        <v>539</v>
      </c>
      <c r="B1601" t="s">
        <v>23</v>
      </c>
      <c r="C1601" t="s">
        <v>65</v>
      </c>
      <c r="D1601">
        <v>1</v>
      </c>
      <c r="E1601" t="s">
        <v>572</v>
      </c>
    </row>
    <row r="1602" spans="1:5" x14ac:dyDescent="0.3">
      <c r="A1602">
        <v>539</v>
      </c>
      <c r="B1602" t="s">
        <v>28</v>
      </c>
      <c r="C1602" t="s">
        <v>68</v>
      </c>
      <c r="D1602">
        <v>0</v>
      </c>
      <c r="E1602" t="s">
        <v>94</v>
      </c>
    </row>
    <row r="1603" spans="1:5" x14ac:dyDescent="0.3">
      <c r="A1603">
        <v>539</v>
      </c>
      <c r="B1603" t="s">
        <v>30</v>
      </c>
      <c r="C1603" t="s">
        <v>68</v>
      </c>
      <c r="D1603">
        <v>40</v>
      </c>
      <c r="E1603" t="s">
        <v>753</v>
      </c>
    </row>
    <row r="1604" spans="1:5" x14ac:dyDescent="0.3">
      <c r="A1604">
        <v>539</v>
      </c>
      <c r="B1604" t="s">
        <v>31</v>
      </c>
      <c r="C1604" t="s">
        <v>68</v>
      </c>
      <c r="D1604">
        <v>37</v>
      </c>
      <c r="E1604" t="s">
        <v>753</v>
      </c>
    </row>
    <row r="1605" spans="1:5" x14ac:dyDescent="0.3">
      <c r="A1605">
        <v>539</v>
      </c>
      <c r="B1605" t="s">
        <v>80</v>
      </c>
      <c r="C1605" t="s">
        <v>68</v>
      </c>
      <c r="D1605">
        <v>2</v>
      </c>
      <c r="E1605" t="s">
        <v>378</v>
      </c>
    </row>
    <row r="1606" spans="1:5" x14ac:dyDescent="0.3">
      <c r="A1606">
        <v>539</v>
      </c>
      <c r="B1606" t="s">
        <v>33</v>
      </c>
      <c r="C1606" t="s">
        <v>68</v>
      </c>
      <c r="D1606">
        <v>17</v>
      </c>
      <c r="E1606" t="s">
        <v>753</v>
      </c>
    </row>
    <row r="1607" spans="1:5" x14ac:dyDescent="0.3">
      <c r="A1607">
        <v>539</v>
      </c>
      <c r="B1607" t="s">
        <v>5</v>
      </c>
      <c r="C1607" t="s">
        <v>36</v>
      </c>
      <c r="D1607">
        <v>0</v>
      </c>
      <c r="E1607" t="s">
        <v>660</v>
      </c>
    </row>
    <row r="1608" spans="1:5" x14ac:dyDescent="0.3">
      <c r="A1608">
        <v>540</v>
      </c>
      <c r="B1608" t="s">
        <v>80</v>
      </c>
      <c r="C1608" t="s">
        <v>68</v>
      </c>
      <c r="D1608">
        <v>1</v>
      </c>
      <c r="E1608" t="s">
        <v>375</v>
      </c>
    </row>
    <row r="1609" spans="1:5" x14ac:dyDescent="0.3">
      <c r="A1609">
        <v>540</v>
      </c>
      <c r="B1609" t="s">
        <v>19</v>
      </c>
      <c r="C1609" t="s">
        <v>65</v>
      </c>
      <c r="D1609">
        <v>17</v>
      </c>
      <c r="E1609" t="s">
        <v>655</v>
      </c>
    </row>
    <row r="1610" spans="1:5" x14ac:dyDescent="0.3">
      <c r="A1610">
        <v>540</v>
      </c>
      <c r="B1610" t="s">
        <v>21</v>
      </c>
      <c r="C1610" t="s">
        <v>65</v>
      </c>
      <c r="D1610">
        <v>85</v>
      </c>
      <c r="E1610" t="s">
        <v>696</v>
      </c>
    </row>
    <row r="1611" spans="1:5" x14ac:dyDescent="0.3">
      <c r="A1611">
        <v>540</v>
      </c>
      <c r="B1611" t="s">
        <v>607</v>
      </c>
      <c r="C1611" t="s">
        <v>36</v>
      </c>
      <c r="D1611">
        <v>37</v>
      </c>
      <c r="E1611" t="s">
        <v>571</v>
      </c>
    </row>
    <row r="1612" spans="1:5" x14ac:dyDescent="0.3">
      <c r="A1612">
        <v>540</v>
      </c>
      <c r="B1612" t="s">
        <v>35</v>
      </c>
      <c r="C1612" t="s">
        <v>68</v>
      </c>
      <c r="D1612">
        <v>0</v>
      </c>
      <c r="E1612" t="s">
        <v>217</v>
      </c>
    </row>
    <row r="1613" spans="1:5" x14ac:dyDescent="0.3">
      <c r="A1613">
        <v>540</v>
      </c>
      <c r="B1613" t="s">
        <v>5</v>
      </c>
      <c r="C1613" t="s">
        <v>36</v>
      </c>
      <c r="D1613">
        <v>2</v>
      </c>
      <c r="E1613" t="s">
        <v>637</v>
      </c>
    </row>
    <row r="1614" spans="1:5" x14ac:dyDescent="0.3">
      <c r="A1614">
        <v>540</v>
      </c>
      <c r="B1614" t="s">
        <v>75</v>
      </c>
      <c r="C1614" t="s">
        <v>65</v>
      </c>
      <c r="D1614">
        <v>83</v>
      </c>
      <c r="E1614" t="s">
        <v>696</v>
      </c>
    </row>
    <row r="1615" spans="1:5" x14ac:dyDescent="0.3">
      <c r="A1615">
        <v>540</v>
      </c>
      <c r="B1615" t="s">
        <v>24</v>
      </c>
      <c r="C1615" t="s">
        <v>84</v>
      </c>
      <c r="D1615">
        <v>0</v>
      </c>
      <c r="E1615" t="s">
        <v>374</v>
      </c>
    </row>
    <row r="1616" spans="1:5" x14ac:dyDescent="0.3">
      <c r="A1616">
        <v>540</v>
      </c>
      <c r="B1616" t="s">
        <v>17</v>
      </c>
      <c r="C1616" t="s">
        <v>37</v>
      </c>
      <c r="D1616">
        <v>0</v>
      </c>
      <c r="E1616" t="s">
        <v>678</v>
      </c>
    </row>
    <row r="1617" spans="1:5" x14ac:dyDescent="0.3">
      <c r="A1617">
        <v>541</v>
      </c>
      <c r="B1617" t="s">
        <v>80</v>
      </c>
      <c r="C1617" t="s">
        <v>68</v>
      </c>
      <c r="D1617">
        <v>1</v>
      </c>
      <c r="E1617" t="s">
        <v>679</v>
      </c>
    </row>
    <row r="1618" spans="1:5" x14ac:dyDescent="0.3">
      <c r="A1618">
        <v>541</v>
      </c>
      <c r="B1618" t="s">
        <v>607</v>
      </c>
      <c r="C1618" t="s">
        <v>36</v>
      </c>
      <c r="D1618">
        <v>44</v>
      </c>
      <c r="E1618" t="s">
        <v>661</v>
      </c>
    </row>
    <row r="1619" spans="1:5" x14ac:dyDescent="0.3">
      <c r="A1619">
        <v>541</v>
      </c>
      <c r="B1619" t="s">
        <v>34</v>
      </c>
      <c r="C1619" t="s">
        <v>68</v>
      </c>
      <c r="D1619">
        <v>0</v>
      </c>
      <c r="E1619" t="s">
        <v>217</v>
      </c>
    </row>
    <row r="1620" spans="1:5" x14ac:dyDescent="0.3">
      <c r="A1620">
        <v>541</v>
      </c>
      <c r="B1620" t="s">
        <v>23</v>
      </c>
      <c r="C1620" t="s">
        <v>65</v>
      </c>
      <c r="D1620">
        <v>56</v>
      </c>
      <c r="E1620" t="s">
        <v>696</v>
      </c>
    </row>
    <row r="1621" spans="1:5" x14ac:dyDescent="0.3">
      <c r="A1621">
        <v>541</v>
      </c>
      <c r="B1621" t="s">
        <v>21</v>
      </c>
      <c r="C1621" t="s">
        <v>65</v>
      </c>
      <c r="D1621">
        <v>60</v>
      </c>
      <c r="E1621" t="s">
        <v>696</v>
      </c>
    </row>
    <row r="1622" spans="1:5" x14ac:dyDescent="0.3">
      <c r="A1622">
        <v>541</v>
      </c>
      <c r="B1622" t="s">
        <v>20</v>
      </c>
      <c r="C1622" t="s">
        <v>65</v>
      </c>
      <c r="D1622">
        <v>0</v>
      </c>
      <c r="E1622" t="s">
        <v>236</v>
      </c>
    </row>
    <row r="1623" spans="1:5" x14ac:dyDescent="0.3">
      <c r="A1623">
        <v>541</v>
      </c>
      <c r="B1623" t="s">
        <v>5</v>
      </c>
      <c r="C1623" t="s">
        <v>36</v>
      </c>
      <c r="D1623">
        <v>0</v>
      </c>
      <c r="E1623" t="s">
        <v>662</v>
      </c>
    </row>
    <row r="1624" spans="1:5" x14ac:dyDescent="0.3">
      <c r="A1624">
        <v>542</v>
      </c>
      <c r="B1624" t="s">
        <v>5</v>
      </c>
      <c r="C1624" t="s">
        <v>36</v>
      </c>
      <c r="D1624">
        <v>0</v>
      </c>
      <c r="E1624" t="s">
        <v>635</v>
      </c>
    </row>
    <row r="1625" spans="1:5" x14ac:dyDescent="0.3">
      <c r="A1625">
        <v>542</v>
      </c>
      <c r="B1625" t="s">
        <v>19</v>
      </c>
      <c r="C1625" t="s">
        <v>65</v>
      </c>
      <c r="D1625">
        <v>35</v>
      </c>
      <c r="E1625" t="s">
        <v>680</v>
      </c>
    </row>
    <row r="1626" spans="1:5" x14ac:dyDescent="0.3">
      <c r="A1626">
        <v>542</v>
      </c>
      <c r="B1626" t="s">
        <v>33</v>
      </c>
      <c r="C1626" t="s">
        <v>68</v>
      </c>
      <c r="D1626">
        <v>0</v>
      </c>
      <c r="E1626" t="s">
        <v>571</v>
      </c>
    </row>
    <row r="1627" spans="1:5" x14ac:dyDescent="0.3">
      <c r="A1627">
        <v>542</v>
      </c>
      <c r="B1627" t="s">
        <v>20</v>
      </c>
      <c r="C1627" t="s">
        <v>65</v>
      </c>
      <c r="D1627">
        <v>31</v>
      </c>
      <c r="E1627" t="s">
        <v>681</v>
      </c>
    </row>
    <row r="1628" spans="1:5" x14ac:dyDescent="0.3">
      <c r="A1628">
        <v>542</v>
      </c>
      <c r="B1628" t="s">
        <v>21</v>
      </c>
      <c r="C1628" t="s">
        <v>65</v>
      </c>
      <c r="D1628">
        <v>22</v>
      </c>
      <c r="E1628" t="s">
        <v>676</v>
      </c>
    </row>
    <row r="1629" spans="1:5" x14ac:dyDescent="0.3">
      <c r="A1629">
        <v>542</v>
      </c>
      <c r="B1629" t="s">
        <v>607</v>
      </c>
      <c r="C1629" t="s">
        <v>36</v>
      </c>
      <c r="D1629">
        <v>1</v>
      </c>
      <c r="E1629" t="s">
        <v>447</v>
      </c>
    </row>
    <row r="1630" spans="1:5" x14ac:dyDescent="0.3">
      <c r="A1630">
        <v>542</v>
      </c>
      <c r="B1630" t="s">
        <v>80</v>
      </c>
      <c r="C1630" t="s">
        <v>68</v>
      </c>
      <c r="D1630">
        <v>40</v>
      </c>
      <c r="E1630" t="s">
        <v>682</v>
      </c>
    </row>
    <row r="1631" spans="1:5" x14ac:dyDescent="0.3">
      <c r="A1631">
        <v>542</v>
      </c>
      <c r="B1631" t="s">
        <v>29</v>
      </c>
      <c r="C1631" t="s">
        <v>68</v>
      </c>
      <c r="D1631">
        <v>0</v>
      </c>
      <c r="E1631" t="s">
        <v>571</v>
      </c>
    </row>
    <row r="1632" spans="1:5" x14ac:dyDescent="0.3">
      <c r="A1632">
        <v>542</v>
      </c>
      <c r="B1632" t="s">
        <v>76</v>
      </c>
      <c r="C1632" t="s">
        <v>68</v>
      </c>
      <c r="D1632">
        <v>0</v>
      </c>
      <c r="E1632" t="s">
        <v>217</v>
      </c>
    </row>
    <row r="1633" spans="1:5" x14ac:dyDescent="0.3">
      <c r="A1633">
        <v>543</v>
      </c>
      <c r="B1633" t="s">
        <v>5</v>
      </c>
      <c r="C1633" t="s">
        <v>36</v>
      </c>
      <c r="D1633">
        <v>1</v>
      </c>
      <c r="E1633" t="s">
        <v>637</v>
      </c>
    </row>
    <row r="1634" spans="1:5" x14ac:dyDescent="0.3">
      <c r="A1634">
        <v>543</v>
      </c>
      <c r="B1634" t="s">
        <v>33</v>
      </c>
      <c r="C1634" t="s">
        <v>68</v>
      </c>
      <c r="D1634">
        <v>14</v>
      </c>
      <c r="E1634" t="s">
        <v>572</v>
      </c>
    </row>
    <row r="1635" spans="1:5" x14ac:dyDescent="0.3">
      <c r="A1635">
        <v>543</v>
      </c>
      <c r="B1635" t="s">
        <v>80</v>
      </c>
      <c r="C1635" t="s">
        <v>68</v>
      </c>
      <c r="D1635">
        <v>11</v>
      </c>
      <c r="E1635" t="s">
        <v>655</v>
      </c>
    </row>
    <row r="1636" spans="1:5" x14ac:dyDescent="0.3">
      <c r="A1636">
        <v>543</v>
      </c>
      <c r="B1636" t="s">
        <v>19</v>
      </c>
      <c r="C1636" t="s">
        <v>65</v>
      </c>
      <c r="D1636">
        <v>12</v>
      </c>
      <c r="E1636" t="s">
        <v>698</v>
      </c>
    </row>
    <row r="1637" spans="1:5" x14ac:dyDescent="0.3">
      <c r="A1637">
        <v>543</v>
      </c>
      <c r="B1637" t="s">
        <v>10</v>
      </c>
      <c r="C1637" t="s">
        <v>37</v>
      </c>
      <c r="D1637">
        <v>4</v>
      </c>
      <c r="E1637" t="s">
        <v>684</v>
      </c>
    </row>
    <row r="1638" spans="1:5" x14ac:dyDescent="0.3">
      <c r="A1638">
        <v>543</v>
      </c>
      <c r="B1638" t="s">
        <v>12</v>
      </c>
      <c r="C1638" t="s">
        <v>37</v>
      </c>
      <c r="D1638">
        <v>1</v>
      </c>
      <c r="E1638" t="s">
        <v>683</v>
      </c>
    </row>
    <row r="1639" spans="1:5" x14ac:dyDescent="0.3">
      <c r="A1639">
        <v>544</v>
      </c>
      <c r="B1639" t="s">
        <v>33</v>
      </c>
      <c r="C1639" t="s">
        <v>68</v>
      </c>
      <c r="D1639">
        <v>0</v>
      </c>
      <c r="E1639" t="s">
        <v>360</v>
      </c>
    </row>
    <row r="1640" spans="1:5" x14ac:dyDescent="0.3">
      <c r="A1640">
        <v>544</v>
      </c>
      <c r="B1640" t="s">
        <v>75</v>
      </c>
      <c r="C1640" t="s">
        <v>65</v>
      </c>
      <c r="D1640">
        <v>2</v>
      </c>
      <c r="E1640" t="s">
        <v>217</v>
      </c>
    </row>
    <row r="1641" spans="1:5" x14ac:dyDescent="0.3">
      <c r="A1641">
        <v>544</v>
      </c>
      <c r="B1641" t="s">
        <v>20</v>
      </c>
      <c r="C1641" t="s">
        <v>65</v>
      </c>
      <c r="D1641">
        <v>39</v>
      </c>
      <c r="E1641" t="s">
        <v>697</v>
      </c>
    </row>
    <row r="1642" spans="1:5" x14ac:dyDescent="0.3">
      <c r="A1642">
        <v>544</v>
      </c>
      <c r="B1642" t="s">
        <v>19</v>
      </c>
      <c r="C1642" t="s">
        <v>65</v>
      </c>
      <c r="D1642">
        <v>30</v>
      </c>
      <c r="E1642" t="s">
        <v>697</v>
      </c>
    </row>
    <row r="1643" spans="1:5" x14ac:dyDescent="0.3">
      <c r="A1643">
        <v>544</v>
      </c>
      <c r="B1643" t="s">
        <v>5</v>
      </c>
      <c r="C1643" t="s">
        <v>36</v>
      </c>
      <c r="D1643">
        <v>1</v>
      </c>
      <c r="E1643" t="s">
        <v>637</v>
      </c>
    </row>
    <row r="1644" spans="1:5" x14ac:dyDescent="0.3">
      <c r="A1644">
        <v>544</v>
      </c>
      <c r="B1644" t="s">
        <v>74</v>
      </c>
      <c r="C1644" t="s">
        <v>65</v>
      </c>
      <c r="D1644">
        <v>39</v>
      </c>
      <c r="E1644" t="s">
        <v>697</v>
      </c>
    </row>
    <row r="1645" spans="1:5" x14ac:dyDescent="0.3">
      <c r="A1645">
        <v>544</v>
      </c>
      <c r="B1645" t="s">
        <v>34</v>
      </c>
      <c r="C1645" t="s">
        <v>68</v>
      </c>
      <c r="D1645">
        <v>0</v>
      </c>
      <c r="E1645" t="s">
        <v>699</v>
      </c>
    </row>
    <row r="1646" spans="1:5" x14ac:dyDescent="0.3">
      <c r="A1646">
        <v>544</v>
      </c>
      <c r="B1646" t="s">
        <v>80</v>
      </c>
      <c r="C1646" t="s">
        <v>68</v>
      </c>
      <c r="D1646">
        <v>1</v>
      </c>
      <c r="E1646" t="s">
        <v>676</v>
      </c>
    </row>
    <row r="1647" spans="1:5" x14ac:dyDescent="0.3">
      <c r="A1647">
        <v>544</v>
      </c>
      <c r="B1647" t="s">
        <v>30</v>
      </c>
      <c r="C1647" t="s">
        <v>68</v>
      </c>
      <c r="D1647">
        <v>16</v>
      </c>
      <c r="E1647" t="s">
        <v>700</v>
      </c>
    </row>
    <row r="1648" spans="1:5" x14ac:dyDescent="0.3">
      <c r="A1648">
        <v>545</v>
      </c>
      <c r="B1648" t="s">
        <v>35</v>
      </c>
      <c r="C1648" t="s">
        <v>68</v>
      </c>
      <c r="D1648">
        <v>1</v>
      </c>
      <c r="E1648" t="s">
        <v>94</v>
      </c>
    </row>
    <row r="1649" spans="1:5" x14ac:dyDescent="0.3">
      <c r="A1649">
        <v>545</v>
      </c>
      <c r="B1649" t="s">
        <v>33</v>
      </c>
      <c r="C1649" t="s">
        <v>68</v>
      </c>
      <c r="D1649">
        <v>1</v>
      </c>
      <c r="E1649" t="s">
        <v>94</v>
      </c>
    </row>
    <row r="1650" spans="1:5" x14ac:dyDescent="0.3">
      <c r="A1650">
        <v>545</v>
      </c>
      <c r="B1650" t="s">
        <v>80</v>
      </c>
      <c r="C1650" t="s">
        <v>68</v>
      </c>
      <c r="D1650">
        <v>4</v>
      </c>
      <c r="E1650" t="s">
        <v>375</v>
      </c>
    </row>
    <row r="1651" spans="1:5" x14ac:dyDescent="0.3">
      <c r="A1651">
        <v>545</v>
      </c>
      <c r="B1651" t="s">
        <v>28</v>
      </c>
      <c r="C1651" t="s">
        <v>68</v>
      </c>
      <c r="D1651">
        <v>0</v>
      </c>
      <c r="E1651" t="s">
        <v>217</v>
      </c>
    </row>
    <row r="1652" spans="1:5" x14ac:dyDescent="0.3">
      <c r="A1652">
        <v>545</v>
      </c>
      <c r="B1652" t="s">
        <v>26</v>
      </c>
      <c r="C1652" t="s">
        <v>84</v>
      </c>
      <c r="D1652">
        <v>0</v>
      </c>
      <c r="E1652" t="s">
        <v>94</v>
      </c>
    </row>
    <row r="1653" spans="1:5" x14ac:dyDescent="0.3">
      <c r="A1653">
        <v>545</v>
      </c>
      <c r="B1653" t="s">
        <v>23</v>
      </c>
      <c r="C1653" t="s">
        <v>65</v>
      </c>
      <c r="D1653">
        <v>49</v>
      </c>
      <c r="E1653" t="s">
        <v>697</v>
      </c>
    </row>
    <row r="1654" spans="1:5" x14ac:dyDescent="0.3">
      <c r="A1654">
        <v>545</v>
      </c>
      <c r="B1654" t="s">
        <v>12</v>
      </c>
      <c r="C1654" t="s">
        <v>37</v>
      </c>
      <c r="D1654">
        <v>1</v>
      </c>
      <c r="E1654" t="s">
        <v>685</v>
      </c>
    </row>
    <row r="1655" spans="1:5" x14ac:dyDescent="0.3">
      <c r="A1655">
        <v>545</v>
      </c>
      <c r="B1655" t="s">
        <v>10</v>
      </c>
      <c r="C1655" t="s">
        <v>37</v>
      </c>
      <c r="D1655">
        <v>1</v>
      </c>
      <c r="E1655" t="s">
        <v>318</v>
      </c>
    </row>
    <row r="1656" spans="1:5" x14ac:dyDescent="0.3">
      <c r="A1656">
        <v>545</v>
      </c>
      <c r="B1656" t="s">
        <v>5</v>
      </c>
      <c r="C1656" t="s">
        <v>36</v>
      </c>
      <c r="D1656">
        <v>1</v>
      </c>
      <c r="E1656" t="s">
        <v>635</v>
      </c>
    </row>
    <row r="1657" spans="1:5" x14ac:dyDescent="0.3">
      <c r="A1657">
        <v>546</v>
      </c>
      <c r="B1657" t="s">
        <v>8</v>
      </c>
      <c r="C1657" t="s">
        <v>36</v>
      </c>
      <c r="D1657">
        <v>0</v>
      </c>
      <c r="E1657" t="s">
        <v>217</v>
      </c>
    </row>
    <row r="1658" spans="1:5" x14ac:dyDescent="0.3">
      <c r="A1658">
        <v>546</v>
      </c>
      <c r="B1658" t="s">
        <v>19</v>
      </c>
      <c r="C1658" t="s">
        <v>65</v>
      </c>
      <c r="D1658">
        <v>64</v>
      </c>
      <c r="E1658" t="s">
        <v>701</v>
      </c>
    </row>
    <row r="1659" spans="1:5" x14ac:dyDescent="0.3">
      <c r="A1659">
        <v>546</v>
      </c>
      <c r="B1659" t="s">
        <v>5</v>
      </c>
      <c r="C1659" t="s">
        <v>36</v>
      </c>
      <c r="D1659">
        <v>0</v>
      </c>
      <c r="E1659" t="s">
        <v>686</v>
      </c>
    </row>
    <row r="1660" spans="1:5" x14ac:dyDescent="0.3">
      <c r="A1660">
        <v>546</v>
      </c>
      <c r="B1660" t="s">
        <v>20</v>
      </c>
      <c r="C1660" t="s">
        <v>65</v>
      </c>
      <c r="D1660">
        <v>145</v>
      </c>
      <c r="E1660" t="s">
        <v>691</v>
      </c>
    </row>
    <row r="1661" spans="1:5" x14ac:dyDescent="0.3">
      <c r="A1661">
        <v>547</v>
      </c>
      <c r="B1661" t="s">
        <v>609</v>
      </c>
      <c r="C1661" t="s">
        <v>36</v>
      </c>
      <c r="D1661">
        <v>0</v>
      </c>
      <c r="E1661" t="s">
        <v>687</v>
      </c>
    </row>
    <row r="1662" spans="1:5" x14ac:dyDescent="0.3">
      <c r="A1662">
        <v>547</v>
      </c>
      <c r="B1662" t="s">
        <v>74</v>
      </c>
      <c r="C1662" t="s">
        <v>65</v>
      </c>
      <c r="D1662">
        <v>24</v>
      </c>
      <c r="E1662" t="s">
        <v>704</v>
      </c>
    </row>
    <row r="1663" spans="1:5" x14ac:dyDescent="0.3">
      <c r="A1663">
        <v>547</v>
      </c>
      <c r="B1663" t="s">
        <v>5</v>
      </c>
      <c r="C1663" t="s">
        <v>36</v>
      </c>
      <c r="D1663">
        <v>0</v>
      </c>
      <c r="E1663" t="s">
        <v>688</v>
      </c>
    </row>
    <row r="1664" spans="1:5" x14ac:dyDescent="0.3">
      <c r="A1664">
        <v>547</v>
      </c>
      <c r="B1664" t="s">
        <v>11</v>
      </c>
      <c r="C1664" t="s">
        <v>37</v>
      </c>
      <c r="D1664">
        <v>23</v>
      </c>
      <c r="E1664" t="s">
        <v>691</v>
      </c>
    </row>
    <row r="1665" spans="1:5" x14ac:dyDescent="0.3">
      <c r="A1665">
        <v>547</v>
      </c>
      <c r="B1665" t="s">
        <v>20</v>
      </c>
      <c r="C1665" t="s">
        <v>65</v>
      </c>
      <c r="D1665">
        <v>23</v>
      </c>
      <c r="E1665" t="s">
        <v>698</v>
      </c>
    </row>
    <row r="1666" spans="1:5" x14ac:dyDescent="0.3">
      <c r="A1666">
        <v>547</v>
      </c>
      <c r="B1666" t="s">
        <v>35</v>
      </c>
      <c r="C1666" t="s">
        <v>68</v>
      </c>
      <c r="D1666">
        <v>1</v>
      </c>
      <c r="E1666" t="s">
        <v>702</v>
      </c>
    </row>
    <row r="1667" spans="1:5" x14ac:dyDescent="0.3">
      <c r="A1667">
        <v>547</v>
      </c>
      <c r="B1667" t="s">
        <v>77</v>
      </c>
      <c r="C1667" t="s">
        <v>65</v>
      </c>
      <c r="D1667">
        <v>0</v>
      </c>
      <c r="E1667" t="s">
        <v>524</v>
      </c>
    </row>
    <row r="1668" spans="1:5" x14ac:dyDescent="0.3">
      <c r="A1668">
        <v>547</v>
      </c>
      <c r="B1668" t="s">
        <v>23</v>
      </c>
      <c r="C1668" t="s">
        <v>65</v>
      </c>
      <c r="D1668">
        <v>1</v>
      </c>
      <c r="E1668" t="s">
        <v>365</v>
      </c>
    </row>
    <row r="1669" spans="1:5" x14ac:dyDescent="0.3">
      <c r="A1669">
        <v>547</v>
      </c>
      <c r="B1669" t="s">
        <v>21</v>
      </c>
      <c r="C1669" t="s">
        <v>65</v>
      </c>
      <c r="D1669">
        <v>27</v>
      </c>
      <c r="E1669" t="s">
        <v>703</v>
      </c>
    </row>
    <row r="1670" spans="1:5" x14ac:dyDescent="0.3">
      <c r="A1670">
        <v>548</v>
      </c>
      <c r="B1670" t="s">
        <v>607</v>
      </c>
      <c r="C1670" t="s">
        <v>36</v>
      </c>
      <c r="D1670">
        <v>15</v>
      </c>
      <c r="E1670" t="s">
        <v>94</v>
      </c>
    </row>
    <row r="1671" spans="1:5" x14ac:dyDescent="0.3">
      <c r="A1671">
        <v>548</v>
      </c>
      <c r="B1671" t="s">
        <v>23</v>
      </c>
      <c r="C1671" t="s">
        <v>65</v>
      </c>
      <c r="D1671">
        <v>2</v>
      </c>
      <c r="E1671" t="s">
        <v>707</v>
      </c>
    </row>
    <row r="1672" spans="1:5" x14ac:dyDescent="0.3">
      <c r="A1672">
        <v>548</v>
      </c>
      <c r="B1672" t="s">
        <v>21</v>
      </c>
      <c r="C1672" t="s">
        <v>65</v>
      </c>
      <c r="D1672">
        <v>17</v>
      </c>
      <c r="E1672" t="s">
        <v>705</v>
      </c>
    </row>
    <row r="1673" spans="1:5" x14ac:dyDescent="0.3">
      <c r="A1673">
        <v>548</v>
      </c>
      <c r="B1673" t="s">
        <v>19</v>
      </c>
      <c r="C1673" t="s">
        <v>65</v>
      </c>
      <c r="D1673">
        <v>11</v>
      </c>
      <c r="E1673" t="s">
        <v>691</v>
      </c>
    </row>
    <row r="1674" spans="1:5" x14ac:dyDescent="0.3">
      <c r="A1674">
        <v>548</v>
      </c>
      <c r="B1674" t="s">
        <v>20</v>
      </c>
      <c r="C1674" t="s">
        <v>65</v>
      </c>
      <c r="D1674">
        <v>17</v>
      </c>
      <c r="E1674" t="s">
        <v>705</v>
      </c>
    </row>
    <row r="1675" spans="1:5" x14ac:dyDescent="0.3">
      <c r="A1675">
        <v>548</v>
      </c>
      <c r="B1675" t="s">
        <v>76</v>
      </c>
      <c r="C1675" t="s">
        <v>68</v>
      </c>
      <c r="D1675">
        <v>0</v>
      </c>
      <c r="E1675" t="s">
        <v>706</v>
      </c>
    </row>
    <row r="1676" spans="1:5" x14ac:dyDescent="0.3">
      <c r="A1676">
        <v>549</v>
      </c>
      <c r="B1676" t="s">
        <v>11</v>
      </c>
      <c r="C1676" t="s">
        <v>37</v>
      </c>
      <c r="D1676">
        <v>0</v>
      </c>
      <c r="E1676" t="s">
        <v>708</v>
      </c>
    </row>
    <row r="1677" spans="1:5" x14ac:dyDescent="0.3">
      <c r="A1677">
        <v>549</v>
      </c>
      <c r="B1677" t="s">
        <v>8</v>
      </c>
      <c r="C1677" t="s">
        <v>36</v>
      </c>
      <c r="D1677">
        <v>1</v>
      </c>
      <c r="E1677" t="s">
        <v>572</v>
      </c>
    </row>
    <row r="1678" spans="1:5" x14ac:dyDescent="0.3">
      <c r="A1678">
        <v>549</v>
      </c>
      <c r="B1678" t="s">
        <v>19</v>
      </c>
      <c r="C1678" t="s">
        <v>65</v>
      </c>
      <c r="D1678">
        <v>56</v>
      </c>
      <c r="E1678" t="s">
        <v>709</v>
      </c>
    </row>
    <row r="1679" spans="1:5" x14ac:dyDescent="0.3">
      <c r="A1679">
        <v>549</v>
      </c>
      <c r="B1679" t="s">
        <v>80</v>
      </c>
      <c r="C1679" t="s">
        <v>68</v>
      </c>
      <c r="D1679">
        <v>1</v>
      </c>
      <c r="E1679" t="s">
        <v>711</v>
      </c>
    </row>
    <row r="1680" spans="1:5" x14ac:dyDescent="0.3">
      <c r="A1680">
        <v>549</v>
      </c>
      <c r="B1680" t="s">
        <v>29</v>
      </c>
      <c r="C1680" t="s">
        <v>68</v>
      </c>
      <c r="D1680">
        <v>0</v>
      </c>
      <c r="E1680" t="s">
        <v>710</v>
      </c>
    </row>
    <row r="1681" spans="1:5" x14ac:dyDescent="0.3">
      <c r="A1681">
        <v>549</v>
      </c>
      <c r="B1681" t="s">
        <v>5</v>
      </c>
      <c r="C1681" t="s">
        <v>36</v>
      </c>
      <c r="D1681">
        <v>0</v>
      </c>
      <c r="E1681" t="s">
        <v>637</v>
      </c>
    </row>
    <row r="1682" spans="1:5" x14ac:dyDescent="0.3">
      <c r="A1682">
        <v>549</v>
      </c>
      <c r="B1682" t="s">
        <v>12</v>
      </c>
      <c r="C1682" t="s">
        <v>37</v>
      </c>
      <c r="D1682">
        <v>2</v>
      </c>
      <c r="E1682" t="s">
        <v>572</v>
      </c>
    </row>
    <row r="1683" spans="1:5" x14ac:dyDescent="0.3">
      <c r="A1683">
        <v>549</v>
      </c>
      <c r="B1683" t="s">
        <v>28</v>
      </c>
      <c r="C1683" t="s">
        <v>68</v>
      </c>
      <c r="D1683">
        <v>0</v>
      </c>
      <c r="E1683" t="s">
        <v>524</v>
      </c>
    </row>
    <row r="1684" spans="1:5" x14ac:dyDescent="0.3">
      <c r="A1684">
        <v>549</v>
      </c>
      <c r="B1684" t="s">
        <v>21</v>
      </c>
      <c r="C1684" t="s">
        <v>65</v>
      </c>
      <c r="D1684">
        <v>74</v>
      </c>
      <c r="E1684" t="s">
        <v>691</v>
      </c>
    </row>
    <row r="1685" spans="1:5" x14ac:dyDescent="0.3">
      <c r="A1685">
        <v>549</v>
      </c>
      <c r="B1685" t="s">
        <v>20</v>
      </c>
      <c r="C1685" t="s">
        <v>65</v>
      </c>
      <c r="D1685">
        <v>73</v>
      </c>
      <c r="E1685" t="s">
        <v>712</v>
      </c>
    </row>
    <row r="1686" spans="1:5" x14ac:dyDescent="0.3">
      <c r="A1686">
        <v>549</v>
      </c>
      <c r="B1686" t="s">
        <v>35</v>
      </c>
      <c r="C1686" t="s">
        <v>68</v>
      </c>
      <c r="D1686">
        <v>0</v>
      </c>
      <c r="E1686" t="s">
        <v>94</v>
      </c>
    </row>
    <row r="1687" spans="1:5" x14ac:dyDescent="0.3">
      <c r="A1687">
        <v>550</v>
      </c>
      <c r="B1687" t="s">
        <v>74</v>
      </c>
      <c r="C1687" t="s">
        <v>65</v>
      </c>
      <c r="D1687">
        <v>0</v>
      </c>
      <c r="E1687" t="s">
        <v>783</v>
      </c>
    </row>
    <row r="1688" spans="1:5" x14ac:dyDescent="0.3">
      <c r="A1688">
        <v>550</v>
      </c>
      <c r="B1688" t="s">
        <v>607</v>
      </c>
      <c r="C1688" t="s">
        <v>36</v>
      </c>
      <c r="D1688">
        <v>25</v>
      </c>
      <c r="E1688" t="s">
        <v>690</v>
      </c>
    </row>
    <row r="1689" spans="1:5" x14ac:dyDescent="0.3">
      <c r="A1689">
        <v>550</v>
      </c>
      <c r="B1689" t="s">
        <v>4</v>
      </c>
      <c r="C1689" t="s">
        <v>36</v>
      </c>
      <c r="D1689">
        <v>1</v>
      </c>
      <c r="E1689" t="s">
        <v>713</v>
      </c>
    </row>
    <row r="1690" spans="1:5" x14ac:dyDescent="0.3">
      <c r="A1690">
        <v>550</v>
      </c>
      <c r="B1690" t="s">
        <v>5</v>
      </c>
      <c r="C1690" t="s">
        <v>36</v>
      </c>
      <c r="D1690">
        <v>1</v>
      </c>
      <c r="E1690" t="s">
        <v>637</v>
      </c>
    </row>
    <row r="1691" spans="1:5" x14ac:dyDescent="0.3">
      <c r="A1691">
        <v>550</v>
      </c>
      <c r="B1691" t="s">
        <v>10</v>
      </c>
      <c r="C1691" t="s">
        <v>37</v>
      </c>
      <c r="D1691">
        <v>0</v>
      </c>
      <c r="E1691" t="s">
        <v>217</v>
      </c>
    </row>
    <row r="1692" spans="1:5" x14ac:dyDescent="0.3">
      <c r="A1692">
        <v>550</v>
      </c>
      <c r="B1692" t="s">
        <v>11</v>
      </c>
      <c r="C1692" t="s">
        <v>37</v>
      </c>
      <c r="D1692">
        <v>14</v>
      </c>
      <c r="E1692" t="s">
        <v>786</v>
      </c>
    </row>
    <row r="1693" spans="1:5" x14ac:dyDescent="0.3">
      <c r="A1693">
        <v>550</v>
      </c>
      <c r="B1693" t="s">
        <v>3</v>
      </c>
      <c r="C1693" t="s">
        <v>37</v>
      </c>
      <c r="D1693">
        <v>14</v>
      </c>
      <c r="E1693" t="s">
        <v>782</v>
      </c>
    </row>
    <row r="1694" spans="1:5" x14ac:dyDescent="0.3">
      <c r="A1694">
        <v>550</v>
      </c>
      <c r="B1694" t="s">
        <v>12</v>
      </c>
      <c r="C1694" t="s">
        <v>37</v>
      </c>
      <c r="D1694">
        <v>3</v>
      </c>
      <c r="E1694" t="s">
        <v>785</v>
      </c>
    </row>
    <row r="1695" spans="1:5" x14ac:dyDescent="0.3">
      <c r="A1695">
        <v>550</v>
      </c>
      <c r="B1695" t="s">
        <v>17</v>
      </c>
      <c r="C1695" t="s">
        <v>37</v>
      </c>
      <c r="D1695">
        <v>0</v>
      </c>
      <c r="E1695" t="s">
        <v>94</v>
      </c>
    </row>
    <row r="1696" spans="1:5" x14ac:dyDescent="0.3">
      <c r="A1696">
        <v>550</v>
      </c>
      <c r="B1696" t="s">
        <v>23</v>
      </c>
      <c r="C1696" t="s">
        <v>65</v>
      </c>
      <c r="D1696">
        <v>7</v>
      </c>
      <c r="E1696" t="s">
        <v>784</v>
      </c>
    </row>
    <row r="1697" spans="1:5" x14ac:dyDescent="0.3">
      <c r="A1697">
        <v>550</v>
      </c>
      <c r="B1697" t="s">
        <v>18</v>
      </c>
      <c r="C1697" t="s">
        <v>37</v>
      </c>
      <c r="D1697">
        <v>3</v>
      </c>
      <c r="E1697" t="s">
        <v>552</v>
      </c>
    </row>
    <row r="1698" spans="1:5" x14ac:dyDescent="0.3">
      <c r="A1698">
        <v>551</v>
      </c>
      <c r="B1698" t="s">
        <v>607</v>
      </c>
      <c r="C1698" t="s">
        <v>36</v>
      </c>
      <c r="D1698">
        <v>8</v>
      </c>
      <c r="E1698" t="s">
        <v>716</v>
      </c>
    </row>
    <row r="1699" spans="1:5" x14ac:dyDescent="0.3">
      <c r="A1699">
        <v>551</v>
      </c>
      <c r="B1699" t="s">
        <v>4</v>
      </c>
      <c r="C1699" t="s">
        <v>36</v>
      </c>
      <c r="D1699">
        <v>0</v>
      </c>
      <c r="E1699" t="s">
        <v>236</v>
      </c>
    </row>
    <row r="1700" spans="1:5" x14ac:dyDescent="0.3">
      <c r="A1700">
        <v>551</v>
      </c>
      <c r="B1700" t="s">
        <v>19</v>
      </c>
      <c r="C1700" t="s">
        <v>65</v>
      </c>
      <c r="D1700">
        <v>91</v>
      </c>
      <c r="E1700" t="s">
        <v>387</v>
      </c>
    </row>
    <row r="1701" spans="1:5" x14ac:dyDescent="0.3">
      <c r="A1701">
        <v>551</v>
      </c>
      <c r="B1701" t="s">
        <v>20</v>
      </c>
      <c r="C1701" t="s">
        <v>65</v>
      </c>
      <c r="D1701">
        <v>86</v>
      </c>
      <c r="E1701" t="s">
        <v>387</v>
      </c>
    </row>
    <row r="1702" spans="1:5" x14ac:dyDescent="0.3">
      <c r="A1702">
        <v>551</v>
      </c>
      <c r="B1702" t="s">
        <v>21</v>
      </c>
      <c r="C1702" t="s">
        <v>65</v>
      </c>
      <c r="D1702">
        <v>1</v>
      </c>
      <c r="E1702" t="s">
        <v>714</v>
      </c>
    </row>
    <row r="1703" spans="1:5" x14ac:dyDescent="0.3">
      <c r="A1703">
        <v>551</v>
      </c>
      <c r="B1703" t="s">
        <v>28</v>
      </c>
      <c r="C1703" t="s">
        <v>68</v>
      </c>
      <c r="D1703">
        <v>0</v>
      </c>
      <c r="E1703" t="s">
        <v>717</v>
      </c>
    </row>
    <row r="1704" spans="1:5" x14ac:dyDescent="0.3">
      <c r="A1704">
        <v>551</v>
      </c>
      <c r="B1704" t="s">
        <v>80</v>
      </c>
      <c r="C1704" t="s">
        <v>68</v>
      </c>
      <c r="D1704">
        <v>4</v>
      </c>
      <c r="E1704" t="s">
        <v>715</v>
      </c>
    </row>
    <row r="1705" spans="1:5" x14ac:dyDescent="0.3">
      <c r="A1705">
        <v>551</v>
      </c>
      <c r="B1705" t="s">
        <v>23</v>
      </c>
      <c r="C1705" t="s">
        <v>65</v>
      </c>
      <c r="D1705">
        <v>53</v>
      </c>
      <c r="E1705" t="s">
        <v>655</v>
      </c>
    </row>
    <row r="1706" spans="1:5" x14ac:dyDescent="0.3">
      <c r="A1706">
        <v>552</v>
      </c>
      <c r="B1706" t="s">
        <v>19</v>
      </c>
      <c r="C1706" t="s">
        <v>65</v>
      </c>
      <c r="D1706">
        <v>34</v>
      </c>
      <c r="E1706" t="s">
        <v>722</v>
      </c>
    </row>
    <row r="1707" spans="1:5" x14ac:dyDescent="0.3">
      <c r="A1707">
        <v>552</v>
      </c>
      <c r="B1707" t="s">
        <v>20</v>
      </c>
      <c r="C1707" t="s">
        <v>65</v>
      </c>
      <c r="D1707">
        <v>43</v>
      </c>
      <c r="E1707" t="s">
        <v>723</v>
      </c>
    </row>
    <row r="1708" spans="1:5" x14ac:dyDescent="0.3">
      <c r="A1708">
        <v>552</v>
      </c>
      <c r="B1708" t="s">
        <v>21</v>
      </c>
      <c r="C1708" t="s">
        <v>65</v>
      </c>
      <c r="D1708">
        <v>47</v>
      </c>
      <c r="E1708" t="s">
        <v>723</v>
      </c>
    </row>
    <row r="1709" spans="1:5" x14ac:dyDescent="0.3">
      <c r="A1709">
        <v>552</v>
      </c>
      <c r="B1709" t="s">
        <v>23</v>
      </c>
      <c r="C1709" t="s">
        <v>65</v>
      </c>
      <c r="D1709">
        <v>23</v>
      </c>
      <c r="E1709" t="s">
        <v>718</v>
      </c>
    </row>
    <row r="1710" spans="1:5" x14ac:dyDescent="0.3">
      <c r="A1710">
        <v>552</v>
      </c>
      <c r="B1710" t="s">
        <v>12</v>
      </c>
      <c r="C1710" t="s">
        <v>37</v>
      </c>
      <c r="D1710">
        <v>4</v>
      </c>
      <c r="E1710" t="s">
        <v>721</v>
      </c>
    </row>
    <row r="1711" spans="1:5" x14ac:dyDescent="0.3">
      <c r="A1711">
        <v>552</v>
      </c>
      <c r="B1711" t="s">
        <v>10</v>
      </c>
      <c r="C1711" t="s">
        <v>37</v>
      </c>
      <c r="D1711">
        <v>1</v>
      </c>
      <c r="E1711" t="s">
        <v>720</v>
      </c>
    </row>
    <row r="1712" spans="1:5" x14ac:dyDescent="0.3">
      <c r="A1712">
        <v>552</v>
      </c>
      <c r="B1712" t="s">
        <v>28</v>
      </c>
      <c r="C1712" t="s">
        <v>68</v>
      </c>
      <c r="D1712">
        <v>0</v>
      </c>
      <c r="E1712" t="s">
        <v>94</v>
      </c>
    </row>
    <row r="1713" spans="1:5" x14ac:dyDescent="0.3">
      <c r="A1713">
        <v>552</v>
      </c>
      <c r="B1713" t="s">
        <v>35</v>
      </c>
      <c r="C1713" t="s">
        <v>68</v>
      </c>
      <c r="D1713">
        <v>1</v>
      </c>
      <c r="E1713" t="s">
        <v>94</v>
      </c>
    </row>
    <row r="1714" spans="1:5" x14ac:dyDescent="0.3">
      <c r="A1714">
        <v>552</v>
      </c>
      <c r="B1714" t="s">
        <v>76</v>
      </c>
      <c r="C1714" t="s">
        <v>68</v>
      </c>
      <c r="D1714">
        <v>0</v>
      </c>
      <c r="E1714" t="s">
        <v>217</v>
      </c>
    </row>
    <row r="1715" spans="1:5" x14ac:dyDescent="0.3">
      <c r="A1715">
        <v>552</v>
      </c>
      <c r="B1715" t="s">
        <v>5</v>
      </c>
      <c r="C1715" t="s">
        <v>36</v>
      </c>
      <c r="D1715">
        <v>4</v>
      </c>
      <c r="E1715" t="s">
        <v>719</v>
      </c>
    </row>
    <row r="1716" spans="1:5" x14ac:dyDescent="0.3">
      <c r="A1716">
        <v>552</v>
      </c>
      <c r="B1716" t="s">
        <v>17</v>
      </c>
      <c r="C1716" t="s">
        <v>37</v>
      </c>
      <c r="D1716">
        <v>0</v>
      </c>
      <c r="E1716" t="s">
        <v>524</v>
      </c>
    </row>
    <row r="1717" spans="1:5" x14ac:dyDescent="0.3">
      <c r="A1717">
        <v>553</v>
      </c>
      <c r="B1717" t="s">
        <v>12</v>
      </c>
      <c r="C1717" t="s">
        <v>37</v>
      </c>
      <c r="D1717">
        <v>2</v>
      </c>
      <c r="E1717" t="s">
        <v>724</v>
      </c>
    </row>
    <row r="1718" spans="1:5" x14ac:dyDescent="0.3">
      <c r="A1718">
        <v>553</v>
      </c>
      <c r="B1718" t="s">
        <v>4</v>
      </c>
      <c r="C1718" t="s">
        <v>36</v>
      </c>
      <c r="D1718">
        <v>1</v>
      </c>
      <c r="E1718" t="s">
        <v>725</v>
      </c>
    </row>
    <row r="1719" spans="1:5" x14ac:dyDescent="0.3">
      <c r="A1719">
        <v>553</v>
      </c>
      <c r="B1719" t="s">
        <v>10</v>
      </c>
      <c r="C1719" t="s">
        <v>37</v>
      </c>
      <c r="D1719">
        <v>2</v>
      </c>
      <c r="E1719" t="s">
        <v>375</v>
      </c>
    </row>
    <row r="1720" spans="1:5" x14ac:dyDescent="0.3">
      <c r="A1720">
        <v>553</v>
      </c>
      <c r="B1720" t="s">
        <v>19</v>
      </c>
      <c r="C1720" t="s">
        <v>65</v>
      </c>
      <c r="D1720">
        <v>0</v>
      </c>
      <c r="E1720" t="s">
        <v>572</v>
      </c>
    </row>
    <row r="1721" spans="1:5" x14ac:dyDescent="0.3">
      <c r="A1721">
        <v>553</v>
      </c>
      <c r="B1721" t="s">
        <v>74</v>
      </c>
      <c r="C1721" t="s">
        <v>65</v>
      </c>
      <c r="D1721">
        <v>0</v>
      </c>
      <c r="E1721" t="s">
        <v>140</v>
      </c>
    </row>
    <row r="1722" spans="1:5" x14ac:dyDescent="0.3">
      <c r="A1722">
        <v>553</v>
      </c>
      <c r="B1722" t="s">
        <v>35</v>
      </c>
      <c r="C1722" t="s">
        <v>68</v>
      </c>
      <c r="D1722">
        <v>0</v>
      </c>
      <c r="E1722" t="s">
        <v>94</v>
      </c>
    </row>
    <row r="1723" spans="1:5" x14ac:dyDescent="0.3">
      <c r="A1723">
        <v>553</v>
      </c>
      <c r="B1723" t="s">
        <v>34</v>
      </c>
      <c r="C1723" t="s">
        <v>68</v>
      </c>
      <c r="D1723">
        <v>0</v>
      </c>
      <c r="E1723" t="s">
        <v>94</v>
      </c>
    </row>
    <row r="1724" spans="1:5" x14ac:dyDescent="0.3">
      <c r="A1724">
        <v>553</v>
      </c>
      <c r="B1724" t="s">
        <v>5</v>
      </c>
      <c r="C1724" t="s">
        <v>36</v>
      </c>
      <c r="D1724">
        <v>1</v>
      </c>
      <c r="E1724" t="s">
        <v>635</v>
      </c>
    </row>
    <row r="1725" spans="1:5" x14ac:dyDescent="0.3">
      <c r="A1725">
        <v>554</v>
      </c>
      <c r="B1725" t="s">
        <v>35</v>
      </c>
      <c r="C1725" t="s">
        <v>68</v>
      </c>
      <c r="D1725">
        <v>2</v>
      </c>
      <c r="E1725" t="s">
        <v>726</v>
      </c>
    </row>
    <row r="1726" spans="1:5" x14ac:dyDescent="0.3">
      <c r="A1726">
        <v>554</v>
      </c>
      <c r="B1726" t="s">
        <v>21</v>
      </c>
      <c r="C1726" t="s">
        <v>65</v>
      </c>
      <c r="D1726">
        <v>59</v>
      </c>
      <c r="E1726" t="s">
        <v>691</v>
      </c>
    </row>
    <row r="1727" spans="1:5" x14ac:dyDescent="0.3">
      <c r="A1727">
        <v>554</v>
      </c>
      <c r="B1727" t="s">
        <v>19</v>
      </c>
      <c r="C1727" t="s">
        <v>65</v>
      </c>
      <c r="D1727">
        <v>61</v>
      </c>
      <c r="E1727" t="s">
        <v>691</v>
      </c>
    </row>
    <row r="1728" spans="1:5" x14ac:dyDescent="0.3">
      <c r="A1728">
        <v>554</v>
      </c>
      <c r="B1728" t="s">
        <v>5</v>
      </c>
      <c r="C1728" t="s">
        <v>36</v>
      </c>
      <c r="D1728">
        <v>2</v>
      </c>
      <c r="E1728" t="s">
        <v>637</v>
      </c>
    </row>
    <row r="1729" spans="1:5" x14ac:dyDescent="0.3">
      <c r="A1729">
        <v>554</v>
      </c>
      <c r="B1729" t="s">
        <v>608</v>
      </c>
      <c r="C1729" t="s">
        <v>36</v>
      </c>
      <c r="D1729">
        <v>14</v>
      </c>
      <c r="E1729" t="s">
        <v>691</v>
      </c>
    </row>
    <row r="1730" spans="1:5" x14ac:dyDescent="0.3">
      <c r="A1730">
        <v>555</v>
      </c>
      <c r="B1730" t="s">
        <v>80</v>
      </c>
      <c r="C1730" t="s">
        <v>68</v>
      </c>
      <c r="D1730">
        <v>0</v>
      </c>
      <c r="E1730" t="s">
        <v>729</v>
      </c>
    </row>
    <row r="1731" spans="1:5" x14ac:dyDescent="0.3">
      <c r="A1731">
        <v>555</v>
      </c>
      <c r="B1731" t="s">
        <v>23</v>
      </c>
      <c r="C1731" t="s">
        <v>65</v>
      </c>
      <c r="D1731">
        <v>5</v>
      </c>
      <c r="E1731" t="s">
        <v>728</v>
      </c>
    </row>
    <row r="1732" spans="1:5" x14ac:dyDescent="0.3">
      <c r="A1732">
        <v>555</v>
      </c>
      <c r="B1732" t="s">
        <v>9</v>
      </c>
      <c r="C1732" t="s">
        <v>37</v>
      </c>
      <c r="D1732">
        <v>8</v>
      </c>
      <c r="E1732" t="s">
        <v>727</v>
      </c>
    </row>
    <row r="1733" spans="1:5" x14ac:dyDescent="0.3">
      <c r="A1733">
        <v>555</v>
      </c>
      <c r="B1733" t="s">
        <v>5</v>
      </c>
      <c r="C1733" t="s">
        <v>36</v>
      </c>
      <c r="D1733">
        <v>1</v>
      </c>
      <c r="E1733" t="s">
        <v>731</v>
      </c>
    </row>
    <row r="1734" spans="1:5" x14ac:dyDescent="0.3">
      <c r="A1734">
        <v>555</v>
      </c>
      <c r="B1734" t="s">
        <v>74</v>
      </c>
      <c r="C1734" t="s">
        <v>65</v>
      </c>
      <c r="D1734">
        <v>0</v>
      </c>
      <c r="E1734" t="s">
        <v>140</v>
      </c>
    </row>
    <row r="1735" spans="1:5" x14ac:dyDescent="0.3">
      <c r="A1735">
        <v>555</v>
      </c>
      <c r="B1735" t="s">
        <v>34</v>
      </c>
      <c r="C1735" t="s">
        <v>68</v>
      </c>
      <c r="D1735">
        <v>175320</v>
      </c>
      <c r="E1735" t="s">
        <v>730</v>
      </c>
    </row>
    <row r="1736" spans="1:5" x14ac:dyDescent="0.3">
      <c r="A1736">
        <v>556</v>
      </c>
      <c r="B1736" t="s">
        <v>23</v>
      </c>
      <c r="C1736" t="s">
        <v>65</v>
      </c>
      <c r="D1736">
        <v>1</v>
      </c>
      <c r="E1736" t="s">
        <v>375</v>
      </c>
    </row>
    <row r="1737" spans="1:5" x14ac:dyDescent="0.3">
      <c r="A1737">
        <v>556</v>
      </c>
      <c r="B1737" t="s">
        <v>5</v>
      </c>
      <c r="C1737" t="s">
        <v>36</v>
      </c>
      <c r="D1737">
        <v>0</v>
      </c>
      <c r="E1737" t="s">
        <v>572</v>
      </c>
    </row>
    <row r="1738" spans="1:5" x14ac:dyDescent="0.3">
      <c r="A1738">
        <v>556</v>
      </c>
      <c r="B1738" t="s">
        <v>4</v>
      </c>
      <c r="C1738" t="s">
        <v>36</v>
      </c>
      <c r="D1738">
        <v>1</v>
      </c>
      <c r="E1738" t="s">
        <v>732</v>
      </c>
    </row>
    <row r="1739" spans="1:5" x14ac:dyDescent="0.3">
      <c r="A1739">
        <v>556</v>
      </c>
      <c r="B1739" t="s">
        <v>19</v>
      </c>
      <c r="C1739" t="s">
        <v>65</v>
      </c>
      <c r="D1739">
        <v>113</v>
      </c>
      <c r="E1739" t="s">
        <v>676</v>
      </c>
    </row>
    <row r="1740" spans="1:5" x14ac:dyDescent="0.3">
      <c r="A1740">
        <v>556</v>
      </c>
      <c r="B1740" t="s">
        <v>20</v>
      </c>
      <c r="C1740" t="s">
        <v>65</v>
      </c>
      <c r="D1740">
        <v>119</v>
      </c>
      <c r="E1740" t="s">
        <v>676</v>
      </c>
    </row>
    <row r="1741" spans="1:5" x14ac:dyDescent="0.3">
      <c r="A1741">
        <v>556</v>
      </c>
      <c r="B1741" t="s">
        <v>21</v>
      </c>
      <c r="C1741" t="s">
        <v>65</v>
      </c>
      <c r="D1741">
        <v>0</v>
      </c>
      <c r="E1741" t="s">
        <v>733</v>
      </c>
    </row>
    <row r="1742" spans="1:5" x14ac:dyDescent="0.3">
      <c r="A1742">
        <v>557</v>
      </c>
      <c r="B1742" t="s">
        <v>9</v>
      </c>
      <c r="C1742" t="s">
        <v>37</v>
      </c>
      <c r="D1742">
        <v>0</v>
      </c>
      <c r="E1742" t="s">
        <v>735</v>
      </c>
    </row>
    <row r="1743" spans="1:5" x14ac:dyDescent="0.3">
      <c r="A1743">
        <v>557</v>
      </c>
      <c r="B1743" t="s">
        <v>5</v>
      </c>
      <c r="C1743" t="s">
        <v>36</v>
      </c>
      <c r="D1743">
        <v>1</v>
      </c>
      <c r="E1743" t="s">
        <v>662</v>
      </c>
    </row>
    <row r="1744" spans="1:5" x14ac:dyDescent="0.3">
      <c r="A1744">
        <v>557</v>
      </c>
      <c r="B1744" t="s">
        <v>35</v>
      </c>
      <c r="C1744" t="s">
        <v>68</v>
      </c>
      <c r="D1744">
        <v>1</v>
      </c>
      <c r="E1744" t="s">
        <v>734</v>
      </c>
    </row>
    <row r="1745" spans="1:5" x14ac:dyDescent="0.3">
      <c r="A1745">
        <v>557</v>
      </c>
      <c r="B1745" t="s">
        <v>29</v>
      </c>
      <c r="C1745" t="s">
        <v>68</v>
      </c>
      <c r="D1745">
        <v>24</v>
      </c>
      <c r="E1745" t="s">
        <v>691</v>
      </c>
    </row>
    <row r="1746" spans="1:5" x14ac:dyDescent="0.3">
      <c r="A1746">
        <v>557</v>
      </c>
      <c r="B1746" t="s">
        <v>75</v>
      </c>
      <c r="C1746" t="s">
        <v>65</v>
      </c>
      <c r="D1746">
        <v>23</v>
      </c>
      <c r="E1746" t="s">
        <v>696</v>
      </c>
    </row>
    <row r="1747" spans="1:5" x14ac:dyDescent="0.3">
      <c r="A1747">
        <v>558</v>
      </c>
      <c r="B1747" t="s">
        <v>74</v>
      </c>
      <c r="C1747" t="s">
        <v>65</v>
      </c>
      <c r="D1747">
        <v>0</v>
      </c>
      <c r="E1747" t="s">
        <v>94</v>
      </c>
    </row>
    <row r="1748" spans="1:5" x14ac:dyDescent="0.3">
      <c r="A1748">
        <v>558</v>
      </c>
      <c r="B1748" t="s">
        <v>75</v>
      </c>
      <c r="C1748" t="s">
        <v>65</v>
      </c>
      <c r="D1748">
        <v>1</v>
      </c>
      <c r="E1748" t="s">
        <v>736</v>
      </c>
    </row>
    <row r="1749" spans="1:5" x14ac:dyDescent="0.3">
      <c r="A1749">
        <v>558</v>
      </c>
      <c r="B1749" t="s">
        <v>23</v>
      </c>
      <c r="C1749" t="s">
        <v>65</v>
      </c>
      <c r="D1749">
        <v>2</v>
      </c>
      <c r="E1749" t="s">
        <v>600</v>
      </c>
    </row>
    <row r="1750" spans="1:5" x14ac:dyDescent="0.3">
      <c r="A1750">
        <v>558</v>
      </c>
      <c r="B1750" t="s">
        <v>25</v>
      </c>
      <c r="C1750" t="s">
        <v>84</v>
      </c>
      <c r="D1750">
        <v>1</v>
      </c>
      <c r="E1750" t="s">
        <v>684</v>
      </c>
    </row>
    <row r="1751" spans="1:5" x14ac:dyDescent="0.3">
      <c r="A1751">
        <v>558</v>
      </c>
      <c r="B1751" t="s">
        <v>17</v>
      </c>
      <c r="C1751" t="s">
        <v>37</v>
      </c>
      <c r="D1751">
        <v>0</v>
      </c>
      <c r="E1751" t="s">
        <v>94</v>
      </c>
    </row>
    <row r="1752" spans="1:5" x14ac:dyDescent="0.3">
      <c r="A1752">
        <v>559</v>
      </c>
      <c r="B1752" t="s">
        <v>35</v>
      </c>
      <c r="C1752" t="s">
        <v>68</v>
      </c>
      <c r="D1752">
        <v>0</v>
      </c>
      <c r="E1752" t="s">
        <v>94</v>
      </c>
    </row>
    <row r="1753" spans="1:5" x14ac:dyDescent="0.3">
      <c r="A1753">
        <v>559</v>
      </c>
      <c r="B1753" t="s">
        <v>19</v>
      </c>
      <c r="C1753" t="s">
        <v>65</v>
      </c>
      <c r="D1753">
        <v>101</v>
      </c>
      <c r="E1753" t="s">
        <v>375</v>
      </c>
    </row>
    <row r="1754" spans="1:5" x14ac:dyDescent="0.3">
      <c r="A1754">
        <v>559</v>
      </c>
      <c r="B1754" t="s">
        <v>76</v>
      </c>
      <c r="C1754" t="s">
        <v>68</v>
      </c>
      <c r="D1754">
        <v>0</v>
      </c>
      <c r="E1754" t="s">
        <v>737</v>
      </c>
    </row>
    <row r="1755" spans="1:5" x14ac:dyDescent="0.3">
      <c r="A1755">
        <v>559</v>
      </c>
      <c r="B1755" t="s">
        <v>28</v>
      </c>
      <c r="C1755" t="s">
        <v>68</v>
      </c>
      <c r="D1755">
        <v>1</v>
      </c>
      <c r="E1755" t="s">
        <v>94</v>
      </c>
    </row>
    <row r="1756" spans="1:5" x14ac:dyDescent="0.3">
      <c r="A1756">
        <v>559</v>
      </c>
      <c r="B1756" t="s">
        <v>20</v>
      </c>
      <c r="C1756" t="s">
        <v>65</v>
      </c>
      <c r="D1756">
        <v>0</v>
      </c>
      <c r="E1756" t="s">
        <v>498</v>
      </c>
    </row>
    <row r="1757" spans="1:5" x14ac:dyDescent="0.3">
      <c r="A1757">
        <v>559</v>
      </c>
      <c r="B1757" t="s">
        <v>8</v>
      </c>
      <c r="C1757" t="s">
        <v>36</v>
      </c>
      <c r="D1757">
        <v>1</v>
      </c>
      <c r="E1757" t="s">
        <v>738</v>
      </c>
    </row>
    <row r="1758" spans="1:5" x14ac:dyDescent="0.3">
      <c r="A1758">
        <v>559</v>
      </c>
      <c r="B1758" t="s">
        <v>17</v>
      </c>
      <c r="C1758" t="s">
        <v>37</v>
      </c>
      <c r="D1758">
        <v>0</v>
      </c>
      <c r="E1758" t="s">
        <v>572</v>
      </c>
    </row>
    <row r="1759" spans="1:5" x14ac:dyDescent="0.3">
      <c r="A1759">
        <v>560</v>
      </c>
      <c r="B1759" t="s">
        <v>8</v>
      </c>
      <c r="C1759" t="s">
        <v>36</v>
      </c>
      <c r="D1759">
        <v>0</v>
      </c>
      <c r="E1759" t="s">
        <v>572</v>
      </c>
    </row>
    <row r="1760" spans="1:5" x14ac:dyDescent="0.3">
      <c r="A1760">
        <v>560</v>
      </c>
      <c r="B1760" t="s">
        <v>5</v>
      </c>
      <c r="C1760" t="s">
        <v>36</v>
      </c>
      <c r="D1760">
        <v>1</v>
      </c>
      <c r="E1760" t="s">
        <v>572</v>
      </c>
    </row>
    <row r="1761" spans="1:5" x14ac:dyDescent="0.3">
      <c r="A1761">
        <v>560</v>
      </c>
      <c r="B1761" t="s">
        <v>19</v>
      </c>
      <c r="C1761" t="s">
        <v>65</v>
      </c>
      <c r="D1761">
        <v>81</v>
      </c>
      <c r="E1761" t="s">
        <v>691</v>
      </c>
    </row>
    <row r="1762" spans="1:5" x14ac:dyDescent="0.3">
      <c r="A1762">
        <v>560</v>
      </c>
      <c r="B1762" t="s">
        <v>20</v>
      </c>
      <c r="C1762" t="s">
        <v>65</v>
      </c>
      <c r="D1762">
        <v>114</v>
      </c>
      <c r="E1762" t="s">
        <v>691</v>
      </c>
    </row>
    <row r="1763" spans="1:5" x14ac:dyDescent="0.3">
      <c r="A1763">
        <v>560</v>
      </c>
      <c r="B1763" t="s">
        <v>76</v>
      </c>
      <c r="C1763" t="s">
        <v>68</v>
      </c>
      <c r="D1763">
        <v>0</v>
      </c>
      <c r="E1763" t="s">
        <v>524</v>
      </c>
    </row>
    <row r="1764" spans="1:5" x14ac:dyDescent="0.3">
      <c r="A1764">
        <v>560</v>
      </c>
      <c r="B1764" t="s">
        <v>10</v>
      </c>
      <c r="C1764" t="s">
        <v>37</v>
      </c>
      <c r="D1764">
        <v>0</v>
      </c>
      <c r="E1764" t="s">
        <v>217</v>
      </c>
    </row>
    <row r="1765" spans="1:5" x14ac:dyDescent="0.3">
      <c r="A1765">
        <v>560</v>
      </c>
      <c r="B1765" t="s">
        <v>75</v>
      </c>
      <c r="C1765" t="s">
        <v>65</v>
      </c>
      <c r="D1765">
        <v>0</v>
      </c>
      <c r="E1765" t="s">
        <v>140</v>
      </c>
    </row>
    <row r="1766" spans="1:5" x14ac:dyDescent="0.3">
      <c r="A1766">
        <v>560</v>
      </c>
      <c r="B1766" t="s">
        <v>28</v>
      </c>
      <c r="C1766" t="s">
        <v>68</v>
      </c>
      <c r="D1766">
        <v>0</v>
      </c>
      <c r="E1766" t="s">
        <v>524</v>
      </c>
    </row>
    <row r="1767" spans="1:5" x14ac:dyDescent="0.3">
      <c r="A1767">
        <v>560</v>
      </c>
      <c r="B1767" t="s">
        <v>33</v>
      </c>
      <c r="C1767" t="s">
        <v>68</v>
      </c>
      <c r="D1767">
        <v>1</v>
      </c>
      <c r="E1767" t="s">
        <v>94</v>
      </c>
    </row>
    <row r="1768" spans="1:5" x14ac:dyDescent="0.3">
      <c r="A1768">
        <v>560</v>
      </c>
      <c r="B1768" t="s">
        <v>21</v>
      </c>
      <c r="C1768" t="s">
        <v>65</v>
      </c>
      <c r="D1768">
        <v>3</v>
      </c>
      <c r="E1768" t="s">
        <v>739</v>
      </c>
    </row>
    <row r="1769" spans="1:5" x14ac:dyDescent="0.3">
      <c r="A1769">
        <v>561</v>
      </c>
      <c r="B1769" t="s">
        <v>4</v>
      </c>
      <c r="C1769" t="s">
        <v>36</v>
      </c>
      <c r="D1769">
        <v>0</v>
      </c>
      <c r="E1769" t="s">
        <v>740</v>
      </c>
    </row>
    <row r="1770" spans="1:5" x14ac:dyDescent="0.3">
      <c r="A1770">
        <v>561</v>
      </c>
      <c r="B1770" t="s">
        <v>5</v>
      </c>
      <c r="C1770" t="s">
        <v>36</v>
      </c>
      <c r="D1770">
        <v>0</v>
      </c>
      <c r="E1770" t="s">
        <v>637</v>
      </c>
    </row>
    <row r="1771" spans="1:5" x14ac:dyDescent="0.3">
      <c r="A1771">
        <v>561</v>
      </c>
      <c r="B1771" t="s">
        <v>10</v>
      </c>
      <c r="C1771" t="s">
        <v>37</v>
      </c>
      <c r="D1771">
        <v>1</v>
      </c>
      <c r="E1771" t="s">
        <v>572</v>
      </c>
    </row>
    <row r="1772" spans="1:5" x14ac:dyDescent="0.3">
      <c r="A1772">
        <v>561</v>
      </c>
      <c r="B1772" t="s">
        <v>23</v>
      </c>
      <c r="C1772" t="s">
        <v>65</v>
      </c>
      <c r="D1772">
        <v>85</v>
      </c>
      <c r="E1772" t="s">
        <v>741</v>
      </c>
    </row>
    <row r="1773" spans="1:5" x14ac:dyDescent="0.3">
      <c r="A1773">
        <v>561</v>
      </c>
      <c r="B1773" t="s">
        <v>34</v>
      </c>
      <c r="C1773" t="s">
        <v>68</v>
      </c>
      <c r="D1773">
        <v>0</v>
      </c>
      <c r="E1773" t="s">
        <v>94</v>
      </c>
    </row>
    <row r="1774" spans="1:5" x14ac:dyDescent="0.3">
      <c r="A1774">
        <v>561</v>
      </c>
      <c r="B1774" t="s">
        <v>35</v>
      </c>
      <c r="C1774" t="s">
        <v>68</v>
      </c>
      <c r="D1774">
        <v>0</v>
      </c>
      <c r="E1774" t="s">
        <v>572</v>
      </c>
    </row>
    <row r="1775" spans="1:5" x14ac:dyDescent="0.3">
      <c r="A1775">
        <v>562</v>
      </c>
      <c r="B1775" t="s">
        <v>9</v>
      </c>
      <c r="C1775" t="s">
        <v>37</v>
      </c>
      <c r="D1775">
        <v>3</v>
      </c>
      <c r="E1775" t="s">
        <v>684</v>
      </c>
    </row>
    <row r="1776" spans="1:5" x14ac:dyDescent="0.3">
      <c r="A1776">
        <v>562</v>
      </c>
      <c r="B1776" t="s">
        <v>4</v>
      </c>
      <c r="C1776" t="s">
        <v>36</v>
      </c>
      <c r="D1776">
        <v>0</v>
      </c>
      <c r="E1776" t="s">
        <v>740</v>
      </c>
    </row>
    <row r="1777" spans="1:5" x14ac:dyDescent="0.3">
      <c r="A1777">
        <v>562</v>
      </c>
      <c r="B1777" t="s">
        <v>5</v>
      </c>
      <c r="C1777" t="s">
        <v>36</v>
      </c>
      <c r="D1777">
        <v>0</v>
      </c>
      <c r="E1777" t="s">
        <v>637</v>
      </c>
    </row>
    <row r="1778" spans="1:5" x14ac:dyDescent="0.3">
      <c r="A1778">
        <v>562</v>
      </c>
      <c r="B1778" t="s">
        <v>20</v>
      </c>
      <c r="C1778" t="s">
        <v>65</v>
      </c>
      <c r="D1778">
        <v>42</v>
      </c>
      <c r="E1778" t="s">
        <v>742</v>
      </c>
    </row>
    <row r="1779" spans="1:5" x14ac:dyDescent="0.3">
      <c r="A1779">
        <v>562</v>
      </c>
      <c r="B1779" t="s">
        <v>19</v>
      </c>
      <c r="C1779" t="s">
        <v>65</v>
      </c>
      <c r="D1779">
        <v>50</v>
      </c>
      <c r="E1779" t="s">
        <v>742</v>
      </c>
    </row>
    <row r="1780" spans="1:5" x14ac:dyDescent="0.3">
      <c r="A1780">
        <v>562</v>
      </c>
      <c r="B1780" t="s">
        <v>80</v>
      </c>
      <c r="C1780" t="s">
        <v>68</v>
      </c>
      <c r="D1780">
        <v>9</v>
      </c>
      <c r="E1780" t="s">
        <v>524</v>
      </c>
    </row>
    <row r="1781" spans="1:5" x14ac:dyDescent="0.3">
      <c r="A1781">
        <v>562</v>
      </c>
      <c r="B1781" t="s">
        <v>34</v>
      </c>
      <c r="C1781" t="s">
        <v>68</v>
      </c>
      <c r="D1781">
        <v>0</v>
      </c>
      <c r="E1781" t="s">
        <v>140</v>
      </c>
    </row>
    <row r="1782" spans="1:5" x14ac:dyDescent="0.3">
      <c r="A1782">
        <v>562</v>
      </c>
      <c r="B1782" t="s">
        <v>35</v>
      </c>
      <c r="C1782" t="s">
        <v>68</v>
      </c>
      <c r="D1782">
        <v>1</v>
      </c>
      <c r="E1782" t="s">
        <v>734</v>
      </c>
    </row>
    <row r="1783" spans="1:5" x14ac:dyDescent="0.3">
      <c r="A1783">
        <v>562</v>
      </c>
      <c r="B1783" t="s">
        <v>29</v>
      </c>
      <c r="C1783" t="s">
        <v>68</v>
      </c>
      <c r="D1783">
        <v>0</v>
      </c>
      <c r="E1783" t="s">
        <v>94</v>
      </c>
    </row>
    <row r="1784" spans="1:5" x14ac:dyDescent="0.3">
      <c r="A1784">
        <v>563</v>
      </c>
      <c r="B1784" t="s">
        <v>8</v>
      </c>
      <c r="C1784" t="s">
        <v>36</v>
      </c>
      <c r="D1784">
        <v>1</v>
      </c>
      <c r="E1784" t="s">
        <v>744</v>
      </c>
    </row>
    <row r="1785" spans="1:5" x14ac:dyDescent="0.3">
      <c r="A1785">
        <v>563</v>
      </c>
      <c r="B1785" t="s">
        <v>5</v>
      </c>
      <c r="C1785" t="s">
        <v>36</v>
      </c>
      <c r="D1785">
        <v>0</v>
      </c>
      <c r="E1785" t="s">
        <v>745</v>
      </c>
    </row>
    <row r="1786" spans="1:5" x14ac:dyDescent="0.3">
      <c r="A1786">
        <v>563</v>
      </c>
      <c r="B1786" t="s">
        <v>20</v>
      </c>
      <c r="C1786" t="s">
        <v>65</v>
      </c>
      <c r="D1786">
        <v>147</v>
      </c>
      <c r="E1786" t="s">
        <v>743</v>
      </c>
    </row>
    <row r="1787" spans="1:5" x14ac:dyDescent="0.3">
      <c r="A1787">
        <v>563</v>
      </c>
      <c r="B1787" t="s">
        <v>29</v>
      </c>
      <c r="C1787" t="s">
        <v>68</v>
      </c>
      <c r="D1787">
        <v>0</v>
      </c>
      <c r="E1787" t="s">
        <v>524</v>
      </c>
    </row>
    <row r="1788" spans="1:5" x14ac:dyDescent="0.3">
      <c r="A1788">
        <v>563</v>
      </c>
      <c r="B1788" t="s">
        <v>4</v>
      </c>
      <c r="C1788" t="s">
        <v>36</v>
      </c>
      <c r="D1788">
        <v>0</v>
      </c>
      <c r="E1788" t="s">
        <v>360</v>
      </c>
    </row>
    <row r="1789" spans="1:5" x14ac:dyDescent="0.3">
      <c r="A1789">
        <v>564</v>
      </c>
      <c r="B1789" t="s">
        <v>4</v>
      </c>
      <c r="C1789" t="s">
        <v>36</v>
      </c>
      <c r="D1789">
        <v>0</v>
      </c>
      <c r="E1789" t="s">
        <v>600</v>
      </c>
    </row>
    <row r="1790" spans="1:5" x14ac:dyDescent="0.3">
      <c r="A1790">
        <v>564</v>
      </c>
      <c r="B1790" t="s">
        <v>8</v>
      </c>
      <c r="C1790" t="s">
        <v>36</v>
      </c>
      <c r="D1790">
        <v>0</v>
      </c>
      <c r="E1790" t="s">
        <v>524</v>
      </c>
    </row>
    <row r="1791" spans="1:5" x14ac:dyDescent="0.3">
      <c r="A1791">
        <v>564</v>
      </c>
      <c r="B1791" t="s">
        <v>80</v>
      </c>
      <c r="C1791" t="s">
        <v>68</v>
      </c>
      <c r="D1791">
        <v>0</v>
      </c>
      <c r="E1791" t="s">
        <v>746</v>
      </c>
    </row>
    <row r="1792" spans="1:5" x14ac:dyDescent="0.3">
      <c r="A1792">
        <v>564</v>
      </c>
      <c r="B1792" t="s">
        <v>5</v>
      </c>
      <c r="C1792" t="s">
        <v>36</v>
      </c>
      <c r="D1792">
        <v>0</v>
      </c>
      <c r="E1792" t="s">
        <v>662</v>
      </c>
    </row>
    <row r="1793" spans="1:5" x14ac:dyDescent="0.3">
      <c r="A1793">
        <v>565</v>
      </c>
      <c r="B1793" t="s">
        <v>8</v>
      </c>
      <c r="C1793" t="s">
        <v>36</v>
      </c>
      <c r="D1793">
        <v>0</v>
      </c>
      <c r="E1793" t="s">
        <v>524</v>
      </c>
    </row>
    <row r="1794" spans="1:5" x14ac:dyDescent="0.3">
      <c r="A1794">
        <v>565</v>
      </c>
      <c r="B1794" t="s">
        <v>10</v>
      </c>
      <c r="C1794" t="s">
        <v>37</v>
      </c>
      <c r="D1794">
        <v>7</v>
      </c>
      <c r="E1794" t="s">
        <v>747</v>
      </c>
    </row>
    <row r="1795" spans="1:5" x14ac:dyDescent="0.3">
      <c r="A1795">
        <v>565</v>
      </c>
      <c r="B1795" t="s">
        <v>77</v>
      </c>
      <c r="C1795" t="s">
        <v>65</v>
      </c>
      <c r="D1795">
        <v>0</v>
      </c>
      <c r="E1795" t="s">
        <v>571</v>
      </c>
    </row>
    <row r="1796" spans="1:5" x14ac:dyDescent="0.3">
      <c r="A1796">
        <v>565</v>
      </c>
      <c r="B1796" t="s">
        <v>35</v>
      </c>
      <c r="C1796" t="s">
        <v>68</v>
      </c>
      <c r="D1796">
        <v>0</v>
      </c>
      <c r="E1796" t="s">
        <v>140</v>
      </c>
    </row>
    <row r="1797" spans="1:5" x14ac:dyDescent="0.3">
      <c r="A1797">
        <v>565</v>
      </c>
      <c r="B1797" t="s">
        <v>25</v>
      </c>
      <c r="C1797" t="s">
        <v>84</v>
      </c>
      <c r="D1797">
        <v>20</v>
      </c>
      <c r="E1797" t="s">
        <v>572</v>
      </c>
    </row>
    <row r="1798" spans="1:5" x14ac:dyDescent="0.3">
      <c r="A1798">
        <v>565</v>
      </c>
      <c r="B1798" t="s">
        <v>17</v>
      </c>
      <c r="C1798" t="s">
        <v>37</v>
      </c>
      <c r="D1798">
        <v>0</v>
      </c>
      <c r="E1798" t="s">
        <v>748</v>
      </c>
    </row>
    <row r="1799" spans="1:5" x14ac:dyDescent="0.3">
      <c r="A1799">
        <v>565</v>
      </c>
      <c r="B1799" t="s">
        <v>21</v>
      </c>
      <c r="C1799" t="s">
        <v>65</v>
      </c>
      <c r="D1799">
        <v>52</v>
      </c>
      <c r="E1799" t="s">
        <v>676</v>
      </c>
    </row>
    <row r="1800" spans="1:5" x14ac:dyDescent="0.3">
      <c r="A1800">
        <v>565</v>
      </c>
      <c r="B1800" t="s">
        <v>74</v>
      </c>
      <c r="C1800" t="s">
        <v>65</v>
      </c>
      <c r="D1800">
        <v>1</v>
      </c>
      <c r="E1800" t="s">
        <v>94</v>
      </c>
    </row>
    <row r="1801" spans="1:5" x14ac:dyDescent="0.3">
      <c r="A1801">
        <v>565</v>
      </c>
      <c r="B1801" t="s">
        <v>5</v>
      </c>
      <c r="C1801" t="s">
        <v>36</v>
      </c>
      <c r="D1801">
        <v>0</v>
      </c>
      <c r="E1801" t="s">
        <v>572</v>
      </c>
    </row>
    <row r="1802" spans="1:5" x14ac:dyDescent="0.3">
      <c r="A1802">
        <v>567</v>
      </c>
      <c r="B1802" t="s">
        <v>24</v>
      </c>
      <c r="C1802" t="s">
        <v>84</v>
      </c>
      <c r="D1802">
        <v>0</v>
      </c>
      <c r="E1802" t="s">
        <v>766</v>
      </c>
    </row>
    <row r="1803" spans="1:5" x14ac:dyDescent="0.3">
      <c r="A1803">
        <v>567</v>
      </c>
      <c r="B1803" t="s">
        <v>23</v>
      </c>
      <c r="C1803" t="s">
        <v>65</v>
      </c>
      <c r="D1803">
        <v>57</v>
      </c>
      <c r="E1803" t="s">
        <v>753</v>
      </c>
    </row>
    <row r="1804" spans="1:5" x14ac:dyDescent="0.3">
      <c r="A1804">
        <v>567</v>
      </c>
      <c r="B1804" t="s">
        <v>35</v>
      </c>
      <c r="C1804" t="s">
        <v>68</v>
      </c>
      <c r="D1804">
        <v>0</v>
      </c>
      <c r="E1804" t="s">
        <v>767</v>
      </c>
    </row>
    <row r="1805" spans="1:5" x14ac:dyDescent="0.3">
      <c r="A1805">
        <v>567</v>
      </c>
      <c r="B1805" t="s">
        <v>12</v>
      </c>
      <c r="C1805" t="s">
        <v>37</v>
      </c>
      <c r="D1805">
        <v>1</v>
      </c>
      <c r="E1805" t="s">
        <v>765</v>
      </c>
    </row>
    <row r="1806" spans="1:5" x14ac:dyDescent="0.3">
      <c r="A1806">
        <v>567</v>
      </c>
      <c r="B1806" t="s">
        <v>5</v>
      </c>
      <c r="C1806" t="s">
        <v>36</v>
      </c>
      <c r="D1806">
        <v>0</v>
      </c>
      <c r="E1806" t="s">
        <v>572</v>
      </c>
    </row>
    <row r="1807" spans="1:5" x14ac:dyDescent="0.3">
      <c r="A1807">
        <v>567</v>
      </c>
      <c r="B1807" t="s">
        <v>19</v>
      </c>
      <c r="C1807" t="s">
        <v>65</v>
      </c>
      <c r="D1807">
        <v>25</v>
      </c>
      <c r="E1807" t="s">
        <v>676</v>
      </c>
    </row>
    <row r="1808" spans="1:5" x14ac:dyDescent="0.3">
      <c r="A1808">
        <v>568</v>
      </c>
      <c r="B1808" t="s">
        <v>5</v>
      </c>
      <c r="C1808" t="s">
        <v>36</v>
      </c>
      <c r="D1808">
        <v>0</v>
      </c>
      <c r="E1808" t="s">
        <v>635</v>
      </c>
    </row>
    <row r="1809" spans="1:5" x14ac:dyDescent="0.3">
      <c r="A1809">
        <v>568</v>
      </c>
      <c r="B1809" t="s">
        <v>8</v>
      </c>
      <c r="C1809" t="s">
        <v>36</v>
      </c>
      <c r="D1809">
        <v>0</v>
      </c>
      <c r="E1809" t="s">
        <v>513</v>
      </c>
    </row>
    <row r="1810" spans="1:5" x14ac:dyDescent="0.3">
      <c r="A1810">
        <v>568</v>
      </c>
      <c r="B1810" t="s">
        <v>15</v>
      </c>
      <c r="C1810" t="s">
        <v>37</v>
      </c>
      <c r="D1810">
        <v>22</v>
      </c>
      <c r="E1810" t="s">
        <v>691</v>
      </c>
    </row>
    <row r="1811" spans="1:5" x14ac:dyDescent="0.3">
      <c r="A1811">
        <v>568</v>
      </c>
      <c r="B1811" t="s">
        <v>606</v>
      </c>
      <c r="C1811" t="s">
        <v>84</v>
      </c>
      <c r="D1811">
        <v>115</v>
      </c>
      <c r="E1811" t="s">
        <v>691</v>
      </c>
    </row>
    <row r="1812" spans="1:5" x14ac:dyDescent="0.3">
      <c r="A1812">
        <v>568</v>
      </c>
      <c r="B1812" t="s">
        <v>29</v>
      </c>
      <c r="C1812" t="s">
        <v>68</v>
      </c>
      <c r="D1812">
        <v>0</v>
      </c>
      <c r="E1812" t="s">
        <v>94</v>
      </c>
    </row>
    <row r="1813" spans="1:5" x14ac:dyDescent="0.3">
      <c r="A1813">
        <v>568</v>
      </c>
      <c r="B1813" t="s">
        <v>35</v>
      </c>
      <c r="C1813" t="s">
        <v>68</v>
      </c>
      <c r="D1813">
        <v>60</v>
      </c>
      <c r="E1813" t="s">
        <v>712</v>
      </c>
    </row>
    <row r="1814" spans="1:5" x14ac:dyDescent="0.3">
      <c r="A1814">
        <v>569</v>
      </c>
      <c r="B1814" t="s">
        <v>25</v>
      </c>
      <c r="C1814" t="s">
        <v>84</v>
      </c>
      <c r="D1814">
        <v>60</v>
      </c>
      <c r="E1814" t="s">
        <v>753</v>
      </c>
    </row>
    <row r="1815" spans="1:5" x14ac:dyDescent="0.3">
      <c r="A1815">
        <v>569</v>
      </c>
      <c r="B1815" t="s">
        <v>17</v>
      </c>
      <c r="C1815" t="s">
        <v>37</v>
      </c>
      <c r="D1815">
        <v>9</v>
      </c>
      <c r="E1815" t="s">
        <v>691</v>
      </c>
    </row>
    <row r="1816" spans="1:5" x14ac:dyDescent="0.3">
      <c r="A1816">
        <v>569</v>
      </c>
      <c r="B1816" t="s">
        <v>80</v>
      </c>
      <c r="C1816" t="s">
        <v>68</v>
      </c>
      <c r="D1816">
        <v>1</v>
      </c>
      <c r="E1816" t="s">
        <v>751</v>
      </c>
    </row>
    <row r="1817" spans="1:5" x14ac:dyDescent="0.3">
      <c r="A1817">
        <v>569</v>
      </c>
      <c r="B1817" t="s">
        <v>23</v>
      </c>
      <c r="C1817" t="s">
        <v>65</v>
      </c>
      <c r="D1817">
        <v>3</v>
      </c>
      <c r="E1817" t="s">
        <v>724</v>
      </c>
    </row>
    <row r="1818" spans="1:5" x14ac:dyDescent="0.3">
      <c r="A1818">
        <v>569</v>
      </c>
      <c r="B1818" t="s">
        <v>74</v>
      </c>
      <c r="C1818" t="s">
        <v>65</v>
      </c>
      <c r="D1818">
        <v>0</v>
      </c>
      <c r="E1818" t="s">
        <v>217</v>
      </c>
    </row>
    <row r="1819" spans="1:5" x14ac:dyDescent="0.3">
      <c r="A1819">
        <v>569</v>
      </c>
      <c r="B1819" t="s">
        <v>12</v>
      </c>
      <c r="C1819" t="s">
        <v>37</v>
      </c>
      <c r="D1819">
        <v>0</v>
      </c>
      <c r="E1819" t="s">
        <v>752</v>
      </c>
    </row>
    <row r="1820" spans="1:5" x14ac:dyDescent="0.3">
      <c r="A1820">
        <v>569</v>
      </c>
      <c r="B1820" t="s">
        <v>4</v>
      </c>
      <c r="C1820" t="s">
        <v>36</v>
      </c>
      <c r="D1820">
        <v>1</v>
      </c>
      <c r="E1820" t="s">
        <v>750</v>
      </c>
    </row>
    <row r="1821" spans="1:5" x14ac:dyDescent="0.3">
      <c r="A1821">
        <v>569</v>
      </c>
      <c r="B1821" t="s">
        <v>24</v>
      </c>
      <c r="C1821" t="s">
        <v>84</v>
      </c>
      <c r="D1821">
        <v>1</v>
      </c>
      <c r="E1821" t="s">
        <v>749</v>
      </c>
    </row>
    <row r="1822" spans="1:5" x14ac:dyDescent="0.3">
      <c r="A1822">
        <v>570</v>
      </c>
      <c r="B1822" t="s">
        <v>80</v>
      </c>
      <c r="C1822" t="s">
        <v>68</v>
      </c>
      <c r="D1822">
        <v>0</v>
      </c>
      <c r="E1822" t="s">
        <v>754</v>
      </c>
    </row>
    <row r="1823" spans="1:5" x14ac:dyDescent="0.3">
      <c r="A1823">
        <v>570</v>
      </c>
      <c r="B1823" t="s">
        <v>23</v>
      </c>
      <c r="C1823" t="s">
        <v>65</v>
      </c>
      <c r="D1823">
        <v>6</v>
      </c>
      <c r="E1823" t="s">
        <v>655</v>
      </c>
    </row>
    <row r="1824" spans="1:5" x14ac:dyDescent="0.3">
      <c r="A1824">
        <v>570</v>
      </c>
      <c r="B1824" t="s">
        <v>26</v>
      </c>
      <c r="C1824" t="s">
        <v>84</v>
      </c>
      <c r="D1824">
        <v>71</v>
      </c>
      <c r="E1824" t="s">
        <v>753</v>
      </c>
    </row>
    <row r="1825" spans="1:5" x14ac:dyDescent="0.3">
      <c r="A1825">
        <v>570</v>
      </c>
      <c r="B1825" t="s">
        <v>11</v>
      </c>
      <c r="C1825" t="s">
        <v>37</v>
      </c>
      <c r="D1825">
        <v>8</v>
      </c>
      <c r="E1825" t="s">
        <v>753</v>
      </c>
    </row>
    <row r="1826" spans="1:5" x14ac:dyDescent="0.3">
      <c r="A1826">
        <v>570</v>
      </c>
      <c r="B1826" t="s">
        <v>5</v>
      </c>
      <c r="C1826" t="s">
        <v>36</v>
      </c>
      <c r="D1826">
        <v>0</v>
      </c>
      <c r="E1826" t="s">
        <v>635</v>
      </c>
    </row>
    <row r="1827" spans="1:5" x14ac:dyDescent="0.3">
      <c r="A1827">
        <v>570</v>
      </c>
      <c r="B1827" t="s">
        <v>3</v>
      </c>
      <c r="C1827" t="s">
        <v>37</v>
      </c>
      <c r="D1827">
        <v>8</v>
      </c>
      <c r="E1827" t="s">
        <v>753</v>
      </c>
    </row>
    <row r="1828" spans="1:5" x14ac:dyDescent="0.3">
      <c r="A1828">
        <v>571</v>
      </c>
      <c r="B1828" t="s">
        <v>12</v>
      </c>
      <c r="C1828" t="s">
        <v>37</v>
      </c>
      <c r="D1828">
        <v>0</v>
      </c>
      <c r="E1828" t="s">
        <v>756</v>
      </c>
    </row>
    <row r="1829" spans="1:5" x14ac:dyDescent="0.3">
      <c r="A1829">
        <v>571</v>
      </c>
      <c r="B1829" t="s">
        <v>33</v>
      </c>
      <c r="C1829" t="s">
        <v>68</v>
      </c>
      <c r="D1829">
        <v>0</v>
      </c>
      <c r="E1829" t="s">
        <v>572</v>
      </c>
    </row>
    <row r="1830" spans="1:5" x14ac:dyDescent="0.3">
      <c r="A1830">
        <v>571</v>
      </c>
      <c r="B1830" t="s">
        <v>35</v>
      </c>
      <c r="C1830" t="s">
        <v>68</v>
      </c>
      <c r="D1830">
        <v>1</v>
      </c>
      <c r="E1830" t="s">
        <v>572</v>
      </c>
    </row>
    <row r="1831" spans="1:5" x14ac:dyDescent="0.3">
      <c r="A1831">
        <v>571</v>
      </c>
      <c r="B1831" t="s">
        <v>77</v>
      </c>
      <c r="C1831" t="s">
        <v>65</v>
      </c>
      <c r="D1831">
        <v>0</v>
      </c>
      <c r="E1831" t="s">
        <v>572</v>
      </c>
    </row>
    <row r="1832" spans="1:5" x14ac:dyDescent="0.3">
      <c r="A1832">
        <v>571</v>
      </c>
      <c r="B1832" t="s">
        <v>75</v>
      </c>
      <c r="C1832" t="s">
        <v>65</v>
      </c>
      <c r="D1832">
        <v>94</v>
      </c>
      <c r="E1832" t="s">
        <v>768</v>
      </c>
    </row>
    <row r="1833" spans="1:5" x14ac:dyDescent="0.3">
      <c r="A1833">
        <v>571</v>
      </c>
      <c r="B1833" t="s">
        <v>9</v>
      </c>
      <c r="C1833" t="s">
        <v>37</v>
      </c>
      <c r="D1833">
        <v>0</v>
      </c>
      <c r="E1833" t="s">
        <v>655</v>
      </c>
    </row>
    <row r="1834" spans="1:5" x14ac:dyDescent="0.3">
      <c r="A1834">
        <v>571</v>
      </c>
      <c r="B1834" t="s">
        <v>34</v>
      </c>
      <c r="C1834" t="s">
        <v>68</v>
      </c>
      <c r="D1834">
        <v>0</v>
      </c>
      <c r="E1834" t="s">
        <v>513</v>
      </c>
    </row>
    <row r="1835" spans="1:5" x14ac:dyDescent="0.3">
      <c r="A1835">
        <v>571</v>
      </c>
      <c r="B1835" t="s">
        <v>5</v>
      </c>
      <c r="C1835" t="s">
        <v>36</v>
      </c>
      <c r="D1835">
        <v>1</v>
      </c>
      <c r="E1835" t="s">
        <v>755</v>
      </c>
    </row>
    <row r="1836" spans="1:5" x14ac:dyDescent="0.3">
      <c r="A1836">
        <v>572</v>
      </c>
      <c r="B1836" t="s">
        <v>29</v>
      </c>
      <c r="C1836" t="s">
        <v>68</v>
      </c>
      <c r="D1836">
        <v>0</v>
      </c>
      <c r="E1836" t="s">
        <v>513</v>
      </c>
    </row>
    <row r="1837" spans="1:5" x14ac:dyDescent="0.3">
      <c r="A1837">
        <v>572</v>
      </c>
      <c r="B1837" t="s">
        <v>80</v>
      </c>
      <c r="C1837" t="s">
        <v>68</v>
      </c>
      <c r="D1837">
        <v>2</v>
      </c>
      <c r="E1837" t="s">
        <v>787</v>
      </c>
    </row>
    <row r="1838" spans="1:5" x14ac:dyDescent="0.3">
      <c r="A1838">
        <v>572</v>
      </c>
      <c r="B1838" t="s">
        <v>20</v>
      </c>
      <c r="C1838" t="s">
        <v>65</v>
      </c>
      <c r="D1838">
        <v>81</v>
      </c>
      <c r="E1838" t="s">
        <v>691</v>
      </c>
    </row>
    <row r="1839" spans="1:5" x14ac:dyDescent="0.3">
      <c r="A1839">
        <v>572</v>
      </c>
      <c r="B1839" t="s">
        <v>32</v>
      </c>
      <c r="C1839" t="s">
        <v>68</v>
      </c>
      <c r="D1839">
        <v>1416</v>
      </c>
      <c r="E1839" t="s">
        <v>572</v>
      </c>
    </row>
    <row r="1840" spans="1:5" x14ac:dyDescent="0.3">
      <c r="A1840">
        <v>572</v>
      </c>
      <c r="B1840" t="s">
        <v>9</v>
      </c>
      <c r="C1840" t="s">
        <v>37</v>
      </c>
      <c r="D1840">
        <v>222</v>
      </c>
      <c r="E1840" t="s">
        <v>788</v>
      </c>
    </row>
    <row r="1841" spans="1:5" x14ac:dyDescent="0.3">
      <c r="A1841">
        <v>572</v>
      </c>
      <c r="B1841" t="s">
        <v>5</v>
      </c>
      <c r="C1841" t="s">
        <v>36</v>
      </c>
      <c r="D1841">
        <v>1</v>
      </c>
      <c r="E1841" t="s">
        <v>637</v>
      </c>
    </row>
    <row r="1842" spans="1:5" x14ac:dyDescent="0.3">
      <c r="A1842">
        <v>572</v>
      </c>
      <c r="B1842" t="s">
        <v>10</v>
      </c>
      <c r="C1842" t="s">
        <v>37</v>
      </c>
      <c r="D1842">
        <v>201</v>
      </c>
      <c r="E1842" t="s">
        <v>696</v>
      </c>
    </row>
    <row r="1843" spans="1:5" x14ac:dyDescent="0.3">
      <c r="A1843">
        <v>573</v>
      </c>
      <c r="B1843" t="s">
        <v>33</v>
      </c>
      <c r="C1843" t="s">
        <v>68</v>
      </c>
      <c r="D1843">
        <v>0</v>
      </c>
      <c r="E1843" t="s">
        <v>789</v>
      </c>
    </row>
    <row r="1844" spans="1:5" x14ac:dyDescent="0.3">
      <c r="A1844">
        <v>573</v>
      </c>
      <c r="B1844" t="s">
        <v>5</v>
      </c>
      <c r="C1844" t="s">
        <v>36</v>
      </c>
      <c r="D1844">
        <v>1</v>
      </c>
      <c r="E1844" t="s">
        <v>637</v>
      </c>
    </row>
    <row r="1845" spans="1:5" x14ac:dyDescent="0.3">
      <c r="A1845">
        <v>573</v>
      </c>
      <c r="B1845" t="s">
        <v>21</v>
      </c>
      <c r="C1845" t="s">
        <v>65</v>
      </c>
      <c r="D1845">
        <v>92</v>
      </c>
      <c r="E1845" t="s">
        <v>753</v>
      </c>
    </row>
    <row r="1846" spans="1:5" x14ac:dyDescent="0.3">
      <c r="A1846">
        <v>573</v>
      </c>
      <c r="B1846" t="s">
        <v>12</v>
      </c>
      <c r="C1846" t="s">
        <v>37</v>
      </c>
      <c r="D1846">
        <v>9</v>
      </c>
      <c r="E1846" t="s">
        <v>758</v>
      </c>
    </row>
    <row r="1847" spans="1:5" x14ac:dyDescent="0.3">
      <c r="A1847">
        <v>573</v>
      </c>
      <c r="B1847" t="s">
        <v>4</v>
      </c>
      <c r="C1847" t="s">
        <v>36</v>
      </c>
      <c r="D1847">
        <v>1</v>
      </c>
      <c r="E1847" t="s">
        <v>757</v>
      </c>
    </row>
    <row r="1848" spans="1:5" x14ac:dyDescent="0.3">
      <c r="A1848">
        <v>573</v>
      </c>
      <c r="B1848" t="s">
        <v>23</v>
      </c>
      <c r="C1848" t="s">
        <v>65</v>
      </c>
      <c r="D1848">
        <v>88</v>
      </c>
      <c r="E1848" t="s">
        <v>753</v>
      </c>
    </row>
    <row r="1849" spans="1:5" x14ac:dyDescent="0.3">
      <c r="A1849">
        <v>574</v>
      </c>
      <c r="B1849" t="s">
        <v>5</v>
      </c>
      <c r="C1849" t="s">
        <v>36</v>
      </c>
      <c r="D1849">
        <v>0</v>
      </c>
      <c r="E1849" t="s">
        <v>662</v>
      </c>
    </row>
    <row r="1850" spans="1:5" x14ac:dyDescent="0.3">
      <c r="A1850">
        <v>574</v>
      </c>
      <c r="B1850" t="s">
        <v>35</v>
      </c>
      <c r="C1850" t="s">
        <v>68</v>
      </c>
      <c r="D1850">
        <v>0</v>
      </c>
      <c r="E1850" t="s">
        <v>549</v>
      </c>
    </row>
    <row r="1851" spans="1:5" x14ac:dyDescent="0.3">
      <c r="A1851">
        <v>574</v>
      </c>
      <c r="B1851" t="s">
        <v>80</v>
      </c>
      <c r="C1851" t="s">
        <v>68</v>
      </c>
      <c r="D1851">
        <v>3</v>
      </c>
      <c r="E1851" t="s">
        <v>572</v>
      </c>
    </row>
    <row r="1852" spans="1:5" x14ac:dyDescent="0.3">
      <c r="A1852">
        <v>574</v>
      </c>
      <c r="B1852" t="s">
        <v>29</v>
      </c>
      <c r="C1852" t="s">
        <v>68</v>
      </c>
      <c r="D1852">
        <v>0</v>
      </c>
      <c r="E1852" t="s">
        <v>524</v>
      </c>
    </row>
    <row r="1853" spans="1:5" x14ac:dyDescent="0.3">
      <c r="A1853">
        <v>574</v>
      </c>
      <c r="B1853" t="s">
        <v>75</v>
      </c>
      <c r="C1853" t="s">
        <v>65</v>
      </c>
      <c r="D1853">
        <v>91</v>
      </c>
      <c r="E1853" t="s">
        <v>769</v>
      </c>
    </row>
    <row r="1854" spans="1:5" x14ac:dyDescent="0.3">
      <c r="A1854">
        <v>574</v>
      </c>
      <c r="B1854" t="s">
        <v>19</v>
      </c>
      <c r="C1854" t="s">
        <v>65</v>
      </c>
      <c r="D1854">
        <v>90</v>
      </c>
      <c r="E1854" t="s">
        <v>691</v>
      </c>
    </row>
    <row r="1855" spans="1:5" x14ac:dyDescent="0.3">
      <c r="A1855">
        <v>574</v>
      </c>
      <c r="B1855" t="s">
        <v>10</v>
      </c>
      <c r="C1855" t="s">
        <v>37</v>
      </c>
      <c r="D1855">
        <v>1</v>
      </c>
      <c r="E1855" t="s">
        <v>387</v>
      </c>
    </row>
    <row r="1856" spans="1:5" x14ac:dyDescent="0.3">
      <c r="A1856">
        <v>575</v>
      </c>
      <c r="B1856" t="s">
        <v>4</v>
      </c>
      <c r="C1856" t="s">
        <v>36</v>
      </c>
      <c r="D1856">
        <v>1</v>
      </c>
      <c r="E1856" t="s">
        <v>759</v>
      </c>
    </row>
    <row r="1857" spans="1:5" x14ac:dyDescent="0.3">
      <c r="A1857">
        <v>575</v>
      </c>
      <c r="B1857" t="s">
        <v>5</v>
      </c>
      <c r="C1857" t="s">
        <v>36</v>
      </c>
      <c r="D1857">
        <v>0</v>
      </c>
      <c r="E1857" t="s">
        <v>760</v>
      </c>
    </row>
    <row r="1858" spans="1:5" x14ac:dyDescent="0.3">
      <c r="A1858">
        <v>575</v>
      </c>
      <c r="B1858" t="s">
        <v>17</v>
      </c>
      <c r="C1858" t="s">
        <v>37</v>
      </c>
      <c r="D1858">
        <v>106</v>
      </c>
      <c r="E1858" t="s">
        <v>790</v>
      </c>
    </row>
    <row r="1859" spans="1:5" x14ac:dyDescent="0.3">
      <c r="A1859">
        <v>575</v>
      </c>
      <c r="B1859" t="s">
        <v>19</v>
      </c>
      <c r="C1859" t="s">
        <v>65</v>
      </c>
      <c r="D1859">
        <v>49</v>
      </c>
      <c r="E1859" t="s">
        <v>791</v>
      </c>
    </row>
    <row r="1860" spans="1:5" x14ac:dyDescent="0.3">
      <c r="A1860">
        <v>575</v>
      </c>
      <c r="B1860" t="s">
        <v>21</v>
      </c>
      <c r="C1860" t="s">
        <v>65</v>
      </c>
      <c r="D1860">
        <v>39</v>
      </c>
      <c r="E1860" t="s">
        <v>791</v>
      </c>
    </row>
    <row r="1861" spans="1:5" x14ac:dyDescent="0.3">
      <c r="A1861">
        <v>575</v>
      </c>
      <c r="B1861" t="s">
        <v>80</v>
      </c>
      <c r="C1861" t="s">
        <v>68</v>
      </c>
      <c r="D1861">
        <v>0</v>
      </c>
      <c r="E1861" t="s">
        <v>204</v>
      </c>
    </row>
    <row r="1862" spans="1:5" x14ac:dyDescent="0.3">
      <c r="A1862">
        <v>576</v>
      </c>
      <c r="B1862" t="s">
        <v>5</v>
      </c>
      <c r="C1862" t="s">
        <v>36</v>
      </c>
      <c r="D1862">
        <v>0</v>
      </c>
      <c r="E1862" t="s">
        <v>637</v>
      </c>
    </row>
    <row r="1863" spans="1:5" x14ac:dyDescent="0.3">
      <c r="A1863">
        <v>577</v>
      </c>
      <c r="B1863" t="s">
        <v>74</v>
      </c>
      <c r="C1863" t="s">
        <v>65</v>
      </c>
      <c r="D1863">
        <v>115</v>
      </c>
      <c r="E1863" t="s">
        <v>793</v>
      </c>
    </row>
    <row r="1864" spans="1:5" x14ac:dyDescent="0.3">
      <c r="A1864">
        <v>577</v>
      </c>
      <c r="B1864" t="s">
        <v>20</v>
      </c>
      <c r="C1864" t="s">
        <v>65</v>
      </c>
      <c r="D1864">
        <v>151</v>
      </c>
      <c r="E1864" t="s">
        <v>696</v>
      </c>
    </row>
    <row r="1865" spans="1:5" x14ac:dyDescent="0.3">
      <c r="A1865">
        <v>577</v>
      </c>
      <c r="B1865" t="s">
        <v>24</v>
      </c>
      <c r="C1865" t="s">
        <v>84</v>
      </c>
      <c r="D1865">
        <v>101</v>
      </c>
      <c r="E1865" t="s">
        <v>792</v>
      </c>
    </row>
    <row r="1866" spans="1:5" x14ac:dyDescent="0.3">
      <c r="A1866">
        <v>577</v>
      </c>
      <c r="B1866" t="s">
        <v>29</v>
      </c>
      <c r="C1866" t="s">
        <v>68</v>
      </c>
      <c r="D1866">
        <v>0</v>
      </c>
      <c r="E1866" t="s">
        <v>94</v>
      </c>
    </row>
    <row r="1867" spans="1:5" x14ac:dyDescent="0.3">
      <c r="A1867">
        <v>577</v>
      </c>
      <c r="B1867" t="s">
        <v>5</v>
      </c>
      <c r="C1867" t="s">
        <v>36</v>
      </c>
      <c r="D1867">
        <v>0</v>
      </c>
      <c r="E1867" t="s">
        <v>572</v>
      </c>
    </row>
    <row r="1868" spans="1:5" x14ac:dyDescent="0.3">
      <c r="A1868">
        <v>578</v>
      </c>
      <c r="B1868" t="s">
        <v>3</v>
      </c>
      <c r="C1868" t="s">
        <v>37</v>
      </c>
      <c r="D1868">
        <v>20</v>
      </c>
      <c r="E1868" t="s">
        <v>772</v>
      </c>
    </row>
    <row r="1869" spans="1:5" x14ac:dyDescent="0.3">
      <c r="A1869">
        <v>578</v>
      </c>
      <c r="B1869" t="s">
        <v>35</v>
      </c>
      <c r="C1869" t="s">
        <v>68</v>
      </c>
      <c r="D1869">
        <v>0</v>
      </c>
      <c r="E1869" t="s">
        <v>770</v>
      </c>
    </row>
    <row r="1870" spans="1:5" x14ac:dyDescent="0.3">
      <c r="A1870">
        <v>578</v>
      </c>
      <c r="B1870" t="s">
        <v>4</v>
      </c>
      <c r="C1870" t="s">
        <v>36</v>
      </c>
      <c r="D1870">
        <v>0</v>
      </c>
      <c r="E1870" t="s">
        <v>263</v>
      </c>
    </row>
    <row r="1871" spans="1:5" x14ac:dyDescent="0.3">
      <c r="A1871">
        <v>578</v>
      </c>
      <c r="B1871" t="s">
        <v>28</v>
      </c>
      <c r="C1871" t="s">
        <v>68</v>
      </c>
      <c r="D1871">
        <v>0</v>
      </c>
      <c r="E1871" t="s">
        <v>524</v>
      </c>
    </row>
    <row r="1872" spans="1:5" x14ac:dyDescent="0.3">
      <c r="A1872">
        <v>578</v>
      </c>
      <c r="B1872" t="s">
        <v>31</v>
      </c>
      <c r="C1872" t="s">
        <v>68</v>
      </c>
      <c r="D1872">
        <v>16</v>
      </c>
      <c r="E1872" t="s">
        <v>691</v>
      </c>
    </row>
    <row r="1873" spans="1:5" x14ac:dyDescent="0.3">
      <c r="A1873">
        <v>578</v>
      </c>
      <c r="B1873" t="s">
        <v>76</v>
      </c>
      <c r="C1873" t="s">
        <v>68</v>
      </c>
      <c r="D1873">
        <v>0</v>
      </c>
      <c r="E1873" t="s">
        <v>572</v>
      </c>
    </row>
    <row r="1874" spans="1:5" x14ac:dyDescent="0.3">
      <c r="A1874">
        <v>578</v>
      </c>
      <c r="B1874" t="s">
        <v>29</v>
      </c>
      <c r="C1874" t="s">
        <v>68</v>
      </c>
      <c r="D1874">
        <v>22</v>
      </c>
      <c r="E1874" t="s">
        <v>771</v>
      </c>
    </row>
    <row r="1875" spans="1:5" x14ac:dyDescent="0.3">
      <c r="A1875">
        <v>578</v>
      </c>
      <c r="B1875" t="s">
        <v>5</v>
      </c>
      <c r="C1875" t="s">
        <v>36</v>
      </c>
      <c r="D1875">
        <v>2</v>
      </c>
      <c r="E1875" t="s">
        <v>761</v>
      </c>
    </row>
    <row r="1876" spans="1:5" x14ac:dyDescent="0.3">
      <c r="A1876">
        <v>579</v>
      </c>
      <c r="B1876" t="s">
        <v>29</v>
      </c>
      <c r="C1876" t="s">
        <v>68</v>
      </c>
      <c r="D1876">
        <v>0</v>
      </c>
      <c r="E1876" t="s">
        <v>94</v>
      </c>
    </row>
    <row r="1877" spans="1:5" x14ac:dyDescent="0.3">
      <c r="A1877">
        <v>579</v>
      </c>
      <c r="B1877" t="s">
        <v>33</v>
      </c>
      <c r="C1877" t="s">
        <v>68</v>
      </c>
      <c r="D1877">
        <v>0</v>
      </c>
      <c r="E1877" t="s">
        <v>794</v>
      </c>
    </row>
    <row r="1878" spans="1:5" x14ac:dyDescent="0.3">
      <c r="A1878">
        <v>579</v>
      </c>
      <c r="B1878" t="s">
        <v>5</v>
      </c>
      <c r="C1878" t="s">
        <v>36</v>
      </c>
      <c r="D1878">
        <v>1</v>
      </c>
      <c r="E1878" t="s">
        <v>637</v>
      </c>
    </row>
    <row r="1879" spans="1:5" x14ac:dyDescent="0.3">
      <c r="A1879">
        <v>579</v>
      </c>
      <c r="B1879" t="s">
        <v>8</v>
      </c>
      <c r="C1879" t="s">
        <v>36</v>
      </c>
      <c r="D1879">
        <v>1</v>
      </c>
      <c r="E1879" t="s">
        <v>263</v>
      </c>
    </row>
    <row r="1880" spans="1:5" x14ac:dyDescent="0.3">
      <c r="A1880">
        <v>579</v>
      </c>
      <c r="B1880" t="s">
        <v>9</v>
      </c>
      <c r="C1880" t="s">
        <v>37</v>
      </c>
      <c r="D1880">
        <v>17</v>
      </c>
      <c r="E1880" t="s">
        <v>387</v>
      </c>
    </row>
    <row r="1881" spans="1:5" x14ac:dyDescent="0.3">
      <c r="A1881">
        <v>579</v>
      </c>
      <c r="B1881" t="s">
        <v>11</v>
      </c>
      <c r="C1881" t="s">
        <v>37</v>
      </c>
      <c r="D1881">
        <v>15</v>
      </c>
      <c r="E1881" t="s">
        <v>753</v>
      </c>
    </row>
    <row r="1882" spans="1:5" x14ac:dyDescent="0.3">
      <c r="A1882">
        <v>579</v>
      </c>
      <c r="B1882" t="s">
        <v>20</v>
      </c>
      <c r="C1882" t="s">
        <v>65</v>
      </c>
      <c r="D1882">
        <v>53</v>
      </c>
      <c r="E1882" t="s">
        <v>697</v>
      </c>
    </row>
    <row r="1883" spans="1:5" x14ac:dyDescent="0.3">
      <c r="A1883">
        <v>579</v>
      </c>
      <c r="B1883" t="s">
        <v>23</v>
      </c>
      <c r="C1883" t="s">
        <v>65</v>
      </c>
      <c r="D1883">
        <v>8</v>
      </c>
      <c r="E1883" t="s">
        <v>387</v>
      </c>
    </row>
    <row r="1884" spans="1:5" x14ac:dyDescent="0.3">
      <c r="A1884">
        <v>579</v>
      </c>
      <c r="B1884" t="s">
        <v>24</v>
      </c>
      <c r="C1884" t="s">
        <v>84</v>
      </c>
      <c r="D1884">
        <v>27</v>
      </c>
      <c r="E1884" t="s">
        <v>753</v>
      </c>
    </row>
    <row r="1885" spans="1:5" x14ac:dyDescent="0.3">
      <c r="A1885">
        <v>580</v>
      </c>
      <c r="B1885" t="s">
        <v>20</v>
      </c>
      <c r="C1885" t="s">
        <v>65</v>
      </c>
      <c r="D1885">
        <v>30</v>
      </c>
      <c r="E1885" t="s">
        <v>375</v>
      </c>
    </row>
    <row r="1886" spans="1:5" x14ac:dyDescent="0.3">
      <c r="A1886">
        <v>580</v>
      </c>
      <c r="B1886" t="s">
        <v>4</v>
      </c>
      <c r="C1886" t="s">
        <v>36</v>
      </c>
      <c r="D1886">
        <v>0</v>
      </c>
      <c r="E1886" t="s">
        <v>524</v>
      </c>
    </row>
    <row r="1887" spans="1:5" x14ac:dyDescent="0.3">
      <c r="A1887">
        <v>580</v>
      </c>
      <c r="B1887" t="s">
        <v>80</v>
      </c>
      <c r="C1887" t="s">
        <v>68</v>
      </c>
      <c r="D1887">
        <v>28</v>
      </c>
      <c r="E1887" t="s">
        <v>572</v>
      </c>
    </row>
    <row r="1888" spans="1:5" x14ac:dyDescent="0.3">
      <c r="A1888">
        <v>580</v>
      </c>
      <c r="B1888" t="s">
        <v>5</v>
      </c>
      <c r="C1888" t="s">
        <v>36</v>
      </c>
      <c r="D1888">
        <v>3</v>
      </c>
      <c r="E1888" t="s">
        <v>762</v>
      </c>
    </row>
    <row r="1889" spans="1:5" x14ac:dyDescent="0.3">
      <c r="A1889">
        <v>580</v>
      </c>
      <c r="B1889" t="s">
        <v>9</v>
      </c>
      <c r="C1889" t="s">
        <v>37</v>
      </c>
      <c r="D1889">
        <v>2</v>
      </c>
      <c r="E1889" t="s">
        <v>524</v>
      </c>
    </row>
    <row r="1890" spans="1:5" x14ac:dyDescent="0.3">
      <c r="A1890">
        <v>580</v>
      </c>
      <c r="B1890" t="s">
        <v>33</v>
      </c>
      <c r="C1890" t="s">
        <v>68</v>
      </c>
      <c r="D1890">
        <v>0</v>
      </c>
      <c r="E1890" t="s">
        <v>217</v>
      </c>
    </row>
    <row r="1891" spans="1:5" x14ac:dyDescent="0.3">
      <c r="A1891">
        <v>581</v>
      </c>
      <c r="B1891" t="s">
        <v>35</v>
      </c>
      <c r="C1891" t="s">
        <v>68</v>
      </c>
      <c r="D1891">
        <v>1</v>
      </c>
      <c r="E1891" t="s">
        <v>572</v>
      </c>
    </row>
    <row r="1892" spans="1:5" x14ac:dyDescent="0.3">
      <c r="A1892">
        <v>581</v>
      </c>
      <c r="B1892" t="s">
        <v>5</v>
      </c>
      <c r="C1892" t="s">
        <v>36</v>
      </c>
      <c r="D1892">
        <v>1</v>
      </c>
      <c r="E1892" t="s">
        <v>572</v>
      </c>
    </row>
    <row r="1893" spans="1:5" x14ac:dyDescent="0.3">
      <c r="A1893">
        <v>581</v>
      </c>
      <c r="B1893" t="s">
        <v>19</v>
      </c>
      <c r="C1893" t="s">
        <v>65</v>
      </c>
      <c r="D1893">
        <v>3</v>
      </c>
      <c r="E1893" t="s">
        <v>676</v>
      </c>
    </row>
    <row r="1894" spans="1:5" x14ac:dyDescent="0.3">
      <c r="A1894">
        <v>581</v>
      </c>
      <c r="B1894" t="s">
        <v>33</v>
      </c>
      <c r="C1894" t="s">
        <v>68</v>
      </c>
      <c r="D1894">
        <v>0</v>
      </c>
      <c r="E1894" t="s">
        <v>94</v>
      </c>
    </row>
    <row r="1895" spans="1:5" x14ac:dyDescent="0.3">
      <c r="A1895">
        <v>582</v>
      </c>
      <c r="B1895" t="s">
        <v>5</v>
      </c>
      <c r="C1895" t="s">
        <v>36</v>
      </c>
      <c r="D1895">
        <v>1</v>
      </c>
      <c r="E1895" t="s">
        <v>773</v>
      </c>
    </row>
    <row r="1896" spans="1:5" x14ac:dyDescent="0.3">
      <c r="A1896">
        <v>582</v>
      </c>
      <c r="B1896" t="s">
        <v>11</v>
      </c>
      <c r="C1896" t="s">
        <v>37</v>
      </c>
      <c r="D1896">
        <v>3</v>
      </c>
      <c r="E1896" t="s">
        <v>204</v>
      </c>
    </row>
    <row r="1897" spans="1:5" x14ac:dyDescent="0.3">
      <c r="A1897">
        <v>582</v>
      </c>
      <c r="B1897" t="s">
        <v>74</v>
      </c>
      <c r="C1897" t="s">
        <v>65</v>
      </c>
      <c r="D1897">
        <v>64</v>
      </c>
      <c r="E1897" t="s">
        <v>795</v>
      </c>
    </row>
    <row r="1898" spans="1:5" x14ac:dyDescent="0.3">
      <c r="A1898">
        <v>582</v>
      </c>
      <c r="B1898" t="s">
        <v>10</v>
      </c>
      <c r="C1898" t="s">
        <v>37</v>
      </c>
      <c r="D1898">
        <v>4</v>
      </c>
      <c r="E1898" t="s">
        <v>676</v>
      </c>
    </row>
    <row r="1899" spans="1:5" x14ac:dyDescent="0.3">
      <c r="A1899">
        <v>582</v>
      </c>
      <c r="B1899" t="s">
        <v>4</v>
      </c>
      <c r="C1899" t="s">
        <v>36</v>
      </c>
      <c r="D1899">
        <v>0</v>
      </c>
      <c r="E1899" t="s">
        <v>572</v>
      </c>
    </row>
    <row r="1900" spans="1:5" x14ac:dyDescent="0.3">
      <c r="A1900">
        <v>582</v>
      </c>
      <c r="B1900" t="s">
        <v>35</v>
      </c>
      <c r="C1900" t="s">
        <v>68</v>
      </c>
      <c r="D1900">
        <v>0</v>
      </c>
      <c r="E1900" t="s">
        <v>572</v>
      </c>
    </row>
    <row r="1901" spans="1:5" x14ac:dyDescent="0.3">
      <c r="A1901">
        <v>582</v>
      </c>
      <c r="B1901" t="s">
        <v>31</v>
      </c>
      <c r="C1901" t="s">
        <v>68</v>
      </c>
      <c r="D1901">
        <v>13</v>
      </c>
      <c r="E1901" t="s">
        <v>796</v>
      </c>
    </row>
    <row r="1902" spans="1:5" x14ac:dyDescent="0.3">
      <c r="A1902">
        <v>582</v>
      </c>
      <c r="B1902" t="s">
        <v>16</v>
      </c>
      <c r="C1902" t="s">
        <v>37</v>
      </c>
      <c r="D1902">
        <v>100</v>
      </c>
      <c r="E1902" t="s">
        <v>572</v>
      </c>
    </row>
    <row r="1903" spans="1:5" x14ac:dyDescent="0.3">
      <c r="A1903">
        <v>582</v>
      </c>
      <c r="B1903" t="s">
        <v>3</v>
      </c>
      <c r="C1903" t="s">
        <v>37</v>
      </c>
      <c r="D1903">
        <v>0</v>
      </c>
      <c r="E1903" t="s">
        <v>204</v>
      </c>
    </row>
    <row r="1904" spans="1:5" x14ac:dyDescent="0.3">
      <c r="A1904">
        <v>583</v>
      </c>
      <c r="B1904" t="s">
        <v>5</v>
      </c>
      <c r="C1904" t="s">
        <v>36</v>
      </c>
      <c r="D1904">
        <v>0</v>
      </c>
      <c r="E1904" t="s">
        <v>635</v>
      </c>
    </row>
    <row r="1905" spans="1:5" x14ac:dyDescent="0.3">
      <c r="A1905">
        <v>583</v>
      </c>
      <c r="B1905" t="s">
        <v>33</v>
      </c>
      <c r="C1905" t="s">
        <v>68</v>
      </c>
      <c r="D1905">
        <v>0</v>
      </c>
      <c r="E1905" t="s">
        <v>94</v>
      </c>
    </row>
    <row r="1906" spans="1:5" x14ac:dyDescent="0.3">
      <c r="A1906">
        <v>583</v>
      </c>
      <c r="B1906" t="s">
        <v>30</v>
      </c>
      <c r="C1906" t="s">
        <v>68</v>
      </c>
      <c r="D1906">
        <v>0</v>
      </c>
      <c r="E1906" t="s">
        <v>797</v>
      </c>
    </row>
    <row r="1907" spans="1:5" x14ac:dyDescent="0.3">
      <c r="A1907">
        <v>583</v>
      </c>
      <c r="B1907" t="s">
        <v>23</v>
      </c>
      <c r="C1907" t="s">
        <v>65</v>
      </c>
      <c r="D1907">
        <v>56</v>
      </c>
      <c r="E1907" t="s">
        <v>572</v>
      </c>
    </row>
    <row r="1908" spans="1:5" x14ac:dyDescent="0.3">
      <c r="A1908">
        <v>583</v>
      </c>
      <c r="B1908" t="s">
        <v>75</v>
      </c>
      <c r="C1908" t="s">
        <v>65</v>
      </c>
      <c r="D1908">
        <v>64</v>
      </c>
      <c r="E1908" t="s">
        <v>572</v>
      </c>
    </row>
    <row r="1909" spans="1:5" x14ac:dyDescent="0.3">
      <c r="A1909">
        <v>583</v>
      </c>
      <c r="B1909" t="s">
        <v>21</v>
      </c>
      <c r="C1909" t="s">
        <v>65</v>
      </c>
      <c r="D1909">
        <v>36</v>
      </c>
      <c r="E1909" t="s">
        <v>572</v>
      </c>
    </row>
    <row r="1910" spans="1:5" x14ac:dyDescent="0.3">
      <c r="A1910">
        <v>583</v>
      </c>
      <c r="B1910" t="s">
        <v>12</v>
      </c>
      <c r="C1910" t="s">
        <v>37</v>
      </c>
      <c r="D1910">
        <v>32</v>
      </c>
      <c r="E1910" t="s">
        <v>691</v>
      </c>
    </row>
    <row r="1911" spans="1:5" x14ac:dyDescent="0.3">
      <c r="A1911">
        <v>583</v>
      </c>
      <c r="B1911" t="s">
        <v>80</v>
      </c>
      <c r="C1911" t="s">
        <v>68</v>
      </c>
      <c r="D1911">
        <v>0</v>
      </c>
      <c r="E1911" t="s">
        <v>724</v>
      </c>
    </row>
    <row r="1912" spans="1:5" x14ac:dyDescent="0.3">
      <c r="A1912">
        <v>584</v>
      </c>
      <c r="B1912" t="s">
        <v>11</v>
      </c>
      <c r="C1912" t="s">
        <v>37</v>
      </c>
      <c r="D1912">
        <v>1</v>
      </c>
      <c r="E1912" t="s">
        <v>655</v>
      </c>
    </row>
    <row r="1913" spans="1:5" x14ac:dyDescent="0.3">
      <c r="A1913">
        <v>584</v>
      </c>
      <c r="B1913" t="s">
        <v>5</v>
      </c>
      <c r="C1913" t="s">
        <v>36</v>
      </c>
      <c r="D1913">
        <v>1</v>
      </c>
      <c r="E1913" t="s">
        <v>637</v>
      </c>
    </row>
    <row r="1914" spans="1:5" x14ac:dyDescent="0.3">
      <c r="A1914">
        <v>584</v>
      </c>
      <c r="B1914" t="s">
        <v>21</v>
      </c>
      <c r="C1914" t="s">
        <v>65</v>
      </c>
      <c r="D1914">
        <v>12</v>
      </c>
      <c r="E1914" t="s">
        <v>471</v>
      </c>
    </row>
    <row r="1915" spans="1:5" x14ac:dyDescent="0.3">
      <c r="A1915">
        <v>584</v>
      </c>
      <c r="B1915" t="s">
        <v>23</v>
      </c>
      <c r="C1915" t="s">
        <v>65</v>
      </c>
      <c r="D1915">
        <v>14</v>
      </c>
      <c r="E1915" t="s">
        <v>798</v>
      </c>
    </row>
    <row r="1916" spans="1:5" x14ac:dyDescent="0.3">
      <c r="A1916">
        <v>585</v>
      </c>
      <c r="B1916" t="s">
        <v>5</v>
      </c>
      <c r="C1916" t="s">
        <v>36</v>
      </c>
      <c r="D1916">
        <v>0</v>
      </c>
      <c r="E1916" t="s">
        <v>572</v>
      </c>
    </row>
    <row r="1917" spans="1:5" x14ac:dyDescent="0.3">
      <c r="A1917">
        <v>585</v>
      </c>
      <c r="B1917" t="s">
        <v>17</v>
      </c>
      <c r="C1917" t="s">
        <v>37</v>
      </c>
      <c r="D1917">
        <v>0</v>
      </c>
      <c r="E1917" t="s">
        <v>513</v>
      </c>
    </row>
    <row r="1918" spans="1:5" x14ac:dyDescent="0.3">
      <c r="A1918">
        <v>585</v>
      </c>
      <c r="B1918" t="s">
        <v>14</v>
      </c>
      <c r="C1918" t="s">
        <v>37</v>
      </c>
      <c r="D1918">
        <v>1</v>
      </c>
      <c r="E1918" t="s">
        <v>753</v>
      </c>
    </row>
    <row r="1919" spans="1:5" x14ac:dyDescent="0.3">
      <c r="A1919">
        <v>585</v>
      </c>
      <c r="B1919" t="s">
        <v>3</v>
      </c>
      <c r="C1919" t="s">
        <v>37</v>
      </c>
      <c r="D1919">
        <v>3</v>
      </c>
      <c r="E1919" t="s">
        <v>799</v>
      </c>
    </row>
    <row r="1920" spans="1:5" x14ac:dyDescent="0.3">
      <c r="A1920">
        <v>585</v>
      </c>
      <c r="B1920" t="s">
        <v>11</v>
      </c>
      <c r="C1920" t="s">
        <v>37</v>
      </c>
      <c r="D1920">
        <v>4</v>
      </c>
      <c r="E1920" t="s">
        <v>799</v>
      </c>
    </row>
    <row r="1921" spans="1:5" x14ac:dyDescent="0.3">
      <c r="A1921">
        <v>585</v>
      </c>
      <c r="B1921" t="s">
        <v>10</v>
      </c>
      <c r="C1921" t="s">
        <v>37</v>
      </c>
      <c r="D1921">
        <v>4</v>
      </c>
      <c r="E1921" t="s">
        <v>387</v>
      </c>
    </row>
    <row r="1922" spans="1:5" x14ac:dyDescent="0.3">
      <c r="A1922">
        <v>585</v>
      </c>
      <c r="B1922" t="s">
        <v>8</v>
      </c>
      <c r="C1922" t="s">
        <v>36</v>
      </c>
      <c r="D1922">
        <v>0</v>
      </c>
      <c r="E1922" t="s">
        <v>94</v>
      </c>
    </row>
    <row r="1923" spans="1:5" x14ac:dyDescent="0.3">
      <c r="A1923">
        <v>585</v>
      </c>
      <c r="B1923" t="s">
        <v>31</v>
      </c>
      <c r="C1923" t="s">
        <v>68</v>
      </c>
      <c r="D1923">
        <v>16</v>
      </c>
      <c r="E1923" t="s">
        <v>753</v>
      </c>
    </row>
    <row r="1924" spans="1:5" x14ac:dyDescent="0.3">
      <c r="A1924">
        <v>585</v>
      </c>
      <c r="B1924" t="s">
        <v>23</v>
      </c>
      <c r="C1924" t="s">
        <v>65</v>
      </c>
      <c r="D1924">
        <v>11</v>
      </c>
      <c r="E1924" t="s">
        <v>572</v>
      </c>
    </row>
    <row r="1925" spans="1:5" x14ac:dyDescent="0.3">
      <c r="A1925">
        <v>585</v>
      </c>
      <c r="B1925" t="s">
        <v>33</v>
      </c>
      <c r="C1925" t="s">
        <v>68</v>
      </c>
      <c r="D1925">
        <v>0</v>
      </c>
      <c r="E1925" t="s">
        <v>371</v>
      </c>
    </row>
    <row r="1926" spans="1:5" x14ac:dyDescent="0.3">
      <c r="A1926">
        <v>585</v>
      </c>
      <c r="B1926" t="s">
        <v>9</v>
      </c>
      <c r="C1926" t="s">
        <v>37</v>
      </c>
      <c r="D1926">
        <v>4</v>
      </c>
      <c r="E1926" t="s">
        <v>676</v>
      </c>
    </row>
    <row r="1927" spans="1:5" x14ac:dyDescent="0.3">
      <c r="A1927">
        <v>585</v>
      </c>
      <c r="B1927" t="s">
        <v>35</v>
      </c>
      <c r="C1927" t="s">
        <v>68</v>
      </c>
      <c r="D1927">
        <v>0</v>
      </c>
      <c r="E1927" t="s">
        <v>524</v>
      </c>
    </row>
    <row r="1928" spans="1:5" x14ac:dyDescent="0.3">
      <c r="A1928">
        <v>585</v>
      </c>
      <c r="B1928" t="s">
        <v>606</v>
      </c>
      <c r="C1928" t="s">
        <v>84</v>
      </c>
      <c r="D1928">
        <v>19</v>
      </c>
      <c r="E1928" t="s">
        <v>696</v>
      </c>
    </row>
    <row r="1929" spans="1:5" x14ac:dyDescent="0.3">
      <c r="A1929">
        <v>586</v>
      </c>
      <c r="B1929" t="s">
        <v>76</v>
      </c>
      <c r="C1929" t="s">
        <v>68</v>
      </c>
      <c r="D1929">
        <v>0</v>
      </c>
      <c r="E1929" t="s">
        <v>217</v>
      </c>
    </row>
    <row r="1930" spans="1:5" x14ac:dyDescent="0.3">
      <c r="A1930">
        <v>586</v>
      </c>
      <c r="B1930" t="s">
        <v>5</v>
      </c>
      <c r="C1930" t="s">
        <v>36</v>
      </c>
      <c r="D1930">
        <v>1</v>
      </c>
      <c r="E1930" t="s">
        <v>774</v>
      </c>
    </row>
    <row r="1931" spans="1:5" x14ac:dyDescent="0.3">
      <c r="A1931">
        <v>586</v>
      </c>
      <c r="B1931" t="s">
        <v>20</v>
      </c>
      <c r="C1931" t="s">
        <v>65</v>
      </c>
      <c r="D1931">
        <v>47</v>
      </c>
      <c r="E1931" t="s">
        <v>801</v>
      </c>
    </row>
    <row r="1932" spans="1:5" x14ac:dyDescent="0.3">
      <c r="A1932">
        <v>586</v>
      </c>
      <c r="B1932" t="s">
        <v>21</v>
      </c>
      <c r="C1932" t="s">
        <v>65</v>
      </c>
      <c r="D1932">
        <v>47</v>
      </c>
      <c r="E1932" t="s">
        <v>572</v>
      </c>
    </row>
    <row r="1933" spans="1:5" x14ac:dyDescent="0.3">
      <c r="A1933">
        <v>586</v>
      </c>
      <c r="B1933" t="s">
        <v>35</v>
      </c>
      <c r="C1933" t="s">
        <v>68</v>
      </c>
      <c r="D1933">
        <v>1</v>
      </c>
      <c r="E1933" t="s">
        <v>800</v>
      </c>
    </row>
    <row r="1934" spans="1:5" x14ac:dyDescent="0.3">
      <c r="A1934">
        <v>586</v>
      </c>
      <c r="B1934" t="s">
        <v>33</v>
      </c>
      <c r="C1934" t="s">
        <v>68</v>
      </c>
      <c r="D1934">
        <v>0</v>
      </c>
      <c r="E1934" t="s">
        <v>217</v>
      </c>
    </row>
    <row r="1935" spans="1:5" x14ac:dyDescent="0.3">
      <c r="A1935">
        <v>587</v>
      </c>
      <c r="B1935" t="s">
        <v>74</v>
      </c>
      <c r="C1935" t="s">
        <v>65</v>
      </c>
      <c r="D1935">
        <v>40</v>
      </c>
      <c r="E1935" t="s">
        <v>572</v>
      </c>
    </row>
    <row r="1936" spans="1:5" x14ac:dyDescent="0.3">
      <c r="A1936">
        <v>587</v>
      </c>
      <c r="B1936" t="s">
        <v>35</v>
      </c>
      <c r="C1936" t="s">
        <v>68</v>
      </c>
      <c r="D1936">
        <v>0</v>
      </c>
      <c r="E1936" t="s">
        <v>217</v>
      </c>
    </row>
    <row r="1937" spans="1:5" x14ac:dyDescent="0.3">
      <c r="A1937">
        <v>587</v>
      </c>
      <c r="B1937" t="s">
        <v>8</v>
      </c>
      <c r="C1937" t="s">
        <v>36</v>
      </c>
      <c r="D1937">
        <v>0</v>
      </c>
      <c r="E1937" t="s">
        <v>803</v>
      </c>
    </row>
    <row r="1938" spans="1:5" x14ac:dyDescent="0.3">
      <c r="A1938">
        <v>587</v>
      </c>
      <c r="B1938" t="s">
        <v>16</v>
      </c>
      <c r="C1938" t="s">
        <v>37</v>
      </c>
      <c r="D1938">
        <v>80</v>
      </c>
      <c r="E1938" t="s">
        <v>655</v>
      </c>
    </row>
    <row r="1939" spans="1:5" x14ac:dyDescent="0.3">
      <c r="A1939">
        <v>587</v>
      </c>
      <c r="B1939" t="s">
        <v>19</v>
      </c>
      <c r="C1939" t="s">
        <v>65</v>
      </c>
      <c r="D1939">
        <v>47</v>
      </c>
      <c r="E1939" t="s">
        <v>572</v>
      </c>
    </row>
    <row r="1940" spans="1:5" x14ac:dyDescent="0.3">
      <c r="A1940">
        <v>587</v>
      </c>
      <c r="B1940" t="s">
        <v>20</v>
      </c>
      <c r="C1940" t="s">
        <v>65</v>
      </c>
      <c r="D1940">
        <v>39</v>
      </c>
      <c r="E1940" t="s">
        <v>572</v>
      </c>
    </row>
    <row r="1941" spans="1:5" x14ac:dyDescent="0.3">
      <c r="A1941">
        <v>587</v>
      </c>
      <c r="B1941" t="s">
        <v>21</v>
      </c>
      <c r="C1941" t="s">
        <v>65</v>
      </c>
      <c r="D1941">
        <v>47</v>
      </c>
      <c r="E1941" t="s">
        <v>572</v>
      </c>
    </row>
    <row r="1942" spans="1:5" x14ac:dyDescent="0.3">
      <c r="A1942">
        <v>587</v>
      </c>
      <c r="B1942" t="s">
        <v>23</v>
      </c>
      <c r="C1942" t="s">
        <v>65</v>
      </c>
      <c r="D1942">
        <v>52</v>
      </c>
      <c r="E1942" t="s">
        <v>572</v>
      </c>
    </row>
    <row r="1943" spans="1:5" x14ac:dyDescent="0.3">
      <c r="A1943">
        <v>587</v>
      </c>
      <c r="B1943" t="s">
        <v>26</v>
      </c>
      <c r="C1943" t="s">
        <v>84</v>
      </c>
      <c r="D1943">
        <v>1</v>
      </c>
      <c r="E1943" t="s">
        <v>386</v>
      </c>
    </row>
    <row r="1944" spans="1:5" x14ac:dyDescent="0.3">
      <c r="A1944">
        <v>587</v>
      </c>
      <c r="B1944" t="s">
        <v>28</v>
      </c>
      <c r="C1944" t="s">
        <v>68</v>
      </c>
      <c r="D1944">
        <v>15</v>
      </c>
      <c r="E1944" t="s">
        <v>802</v>
      </c>
    </row>
    <row r="1945" spans="1:5" x14ac:dyDescent="0.3">
      <c r="A1945">
        <v>587</v>
      </c>
      <c r="B1945" t="s">
        <v>29</v>
      </c>
      <c r="C1945" t="s">
        <v>68</v>
      </c>
      <c r="D1945">
        <v>0</v>
      </c>
      <c r="E1945" t="s">
        <v>94</v>
      </c>
    </row>
    <row r="1946" spans="1:5" x14ac:dyDescent="0.3">
      <c r="A1946">
        <v>587</v>
      </c>
      <c r="B1946" t="s">
        <v>5</v>
      </c>
      <c r="C1946" t="s">
        <v>36</v>
      </c>
      <c r="D1946">
        <v>0</v>
      </c>
      <c r="E1946" t="s">
        <v>637</v>
      </c>
    </row>
    <row r="1947" spans="1:5" x14ac:dyDescent="0.3">
      <c r="A1947">
        <v>588</v>
      </c>
      <c r="B1947" t="s">
        <v>607</v>
      </c>
      <c r="C1947" t="s">
        <v>36</v>
      </c>
      <c r="D1947">
        <v>1</v>
      </c>
      <c r="E1947" t="s">
        <v>804</v>
      </c>
    </row>
    <row r="1948" spans="1:5" x14ac:dyDescent="0.3">
      <c r="A1948">
        <v>588</v>
      </c>
      <c r="B1948" t="s">
        <v>5</v>
      </c>
      <c r="C1948" t="s">
        <v>36</v>
      </c>
      <c r="D1948">
        <v>0</v>
      </c>
      <c r="E1948" t="s">
        <v>662</v>
      </c>
    </row>
    <row r="1949" spans="1:5" x14ac:dyDescent="0.3">
      <c r="A1949">
        <v>589</v>
      </c>
      <c r="B1949" t="s">
        <v>3</v>
      </c>
      <c r="C1949" t="s">
        <v>37</v>
      </c>
      <c r="D1949">
        <v>1</v>
      </c>
      <c r="E1949" t="s">
        <v>600</v>
      </c>
    </row>
    <row r="1950" spans="1:5" x14ac:dyDescent="0.3">
      <c r="A1950">
        <v>589</v>
      </c>
      <c r="B1950" t="s">
        <v>14</v>
      </c>
      <c r="C1950" t="s">
        <v>37</v>
      </c>
      <c r="D1950">
        <v>1</v>
      </c>
      <c r="E1950" t="s">
        <v>806</v>
      </c>
    </row>
    <row r="1951" spans="1:5" x14ac:dyDescent="0.3">
      <c r="A1951">
        <v>589</v>
      </c>
      <c r="B1951" t="s">
        <v>17</v>
      </c>
      <c r="C1951" t="s">
        <v>37</v>
      </c>
      <c r="D1951">
        <v>0</v>
      </c>
      <c r="E1951" t="s">
        <v>524</v>
      </c>
    </row>
    <row r="1952" spans="1:5" x14ac:dyDescent="0.3">
      <c r="A1952">
        <v>589</v>
      </c>
      <c r="B1952" t="s">
        <v>26</v>
      </c>
      <c r="C1952" t="s">
        <v>84</v>
      </c>
      <c r="D1952">
        <v>0</v>
      </c>
      <c r="E1952" t="s">
        <v>339</v>
      </c>
    </row>
    <row r="1953" spans="1:5" x14ac:dyDescent="0.3">
      <c r="A1953">
        <v>589</v>
      </c>
      <c r="B1953" t="s">
        <v>30</v>
      </c>
      <c r="C1953" t="s">
        <v>68</v>
      </c>
      <c r="D1953">
        <v>5</v>
      </c>
      <c r="E1953" t="s">
        <v>378</v>
      </c>
    </row>
    <row r="1954" spans="1:5" x14ac:dyDescent="0.3">
      <c r="A1954">
        <v>589</v>
      </c>
      <c r="B1954" t="s">
        <v>31</v>
      </c>
      <c r="C1954" t="s">
        <v>68</v>
      </c>
      <c r="D1954">
        <v>3</v>
      </c>
      <c r="E1954" t="s">
        <v>805</v>
      </c>
    </row>
    <row r="1955" spans="1:5" x14ac:dyDescent="0.3">
      <c r="A1955">
        <v>589</v>
      </c>
      <c r="B1955" t="s">
        <v>80</v>
      </c>
      <c r="C1955" t="s">
        <v>68</v>
      </c>
      <c r="D1955">
        <v>1</v>
      </c>
      <c r="E1955" t="s">
        <v>378</v>
      </c>
    </row>
    <row r="1956" spans="1:5" x14ac:dyDescent="0.3">
      <c r="A1956">
        <v>589</v>
      </c>
      <c r="B1956" t="s">
        <v>74</v>
      </c>
      <c r="C1956" t="s">
        <v>65</v>
      </c>
      <c r="D1956">
        <v>0</v>
      </c>
      <c r="E1956" t="s">
        <v>807</v>
      </c>
    </row>
    <row r="1957" spans="1:5" x14ac:dyDescent="0.3">
      <c r="A1957">
        <v>589</v>
      </c>
      <c r="B1957" t="s">
        <v>11</v>
      </c>
      <c r="C1957" t="s">
        <v>37</v>
      </c>
      <c r="D1957">
        <v>1</v>
      </c>
      <c r="E1957" t="s">
        <v>600</v>
      </c>
    </row>
    <row r="1958" spans="1:5" x14ac:dyDescent="0.3">
      <c r="A1958">
        <v>590</v>
      </c>
      <c r="B1958" t="s">
        <v>19</v>
      </c>
      <c r="C1958" t="s">
        <v>65</v>
      </c>
      <c r="D1958">
        <v>1</v>
      </c>
      <c r="E1958" t="s">
        <v>809</v>
      </c>
    </row>
    <row r="1959" spans="1:5" x14ac:dyDescent="0.3">
      <c r="A1959">
        <v>590</v>
      </c>
      <c r="B1959" t="s">
        <v>28</v>
      </c>
      <c r="C1959" t="s">
        <v>68</v>
      </c>
      <c r="D1959">
        <v>0</v>
      </c>
      <c r="E1959" t="s">
        <v>812</v>
      </c>
    </row>
    <row r="1960" spans="1:5" x14ac:dyDescent="0.3">
      <c r="A1960">
        <v>590</v>
      </c>
      <c r="B1960" t="s">
        <v>18</v>
      </c>
      <c r="C1960" t="s">
        <v>37</v>
      </c>
      <c r="D1960">
        <v>0</v>
      </c>
      <c r="E1960" t="s">
        <v>339</v>
      </c>
    </row>
    <row r="1961" spans="1:5" x14ac:dyDescent="0.3">
      <c r="A1961">
        <v>590</v>
      </c>
      <c r="B1961" t="s">
        <v>3</v>
      </c>
      <c r="C1961" t="s">
        <v>37</v>
      </c>
      <c r="D1961">
        <v>38</v>
      </c>
      <c r="E1961" t="s">
        <v>684</v>
      </c>
    </row>
    <row r="1962" spans="1:5" x14ac:dyDescent="0.3">
      <c r="A1962">
        <v>590</v>
      </c>
      <c r="B1962" t="s">
        <v>9</v>
      </c>
      <c r="C1962" t="s">
        <v>37</v>
      </c>
      <c r="D1962">
        <v>1</v>
      </c>
      <c r="E1962" t="s">
        <v>767</v>
      </c>
    </row>
    <row r="1963" spans="1:5" x14ac:dyDescent="0.3">
      <c r="A1963">
        <v>590</v>
      </c>
      <c r="B1963" t="s">
        <v>5</v>
      </c>
      <c r="C1963" t="s">
        <v>36</v>
      </c>
      <c r="D1963">
        <v>1</v>
      </c>
      <c r="E1963" t="s">
        <v>811</v>
      </c>
    </row>
    <row r="1964" spans="1:5" x14ac:dyDescent="0.3">
      <c r="A1964">
        <v>590</v>
      </c>
      <c r="B1964" t="s">
        <v>4</v>
      </c>
      <c r="C1964" t="s">
        <v>36</v>
      </c>
      <c r="D1964">
        <v>1</v>
      </c>
      <c r="E1964" t="s">
        <v>810</v>
      </c>
    </row>
    <row r="1965" spans="1:5" x14ac:dyDescent="0.3">
      <c r="A1965">
        <v>590</v>
      </c>
      <c r="B1965" t="s">
        <v>29</v>
      </c>
      <c r="C1965" t="s">
        <v>68</v>
      </c>
      <c r="D1965">
        <v>0</v>
      </c>
      <c r="E1965" t="s">
        <v>94</v>
      </c>
    </row>
    <row r="1966" spans="1:5" x14ac:dyDescent="0.3">
      <c r="A1966">
        <v>590</v>
      </c>
      <c r="B1966" t="s">
        <v>31</v>
      </c>
      <c r="C1966" t="s">
        <v>68</v>
      </c>
      <c r="D1966">
        <v>38</v>
      </c>
      <c r="E1966" t="s">
        <v>808</v>
      </c>
    </row>
    <row r="1967" spans="1:5" x14ac:dyDescent="0.3">
      <c r="A1967">
        <v>590</v>
      </c>
      <c r="B1967" t="s">
        <v>80</v>
      </c>
      <c r="C1967" t="s">
        <v>68</v>
      </c>
      <c r="D1967">
        <v>1</v>
      </c>
      <c r="E1967" t="s">
        <v>378</v>
      </c>
    </row>
    <row r="1968" spans="1:5" x14ac:dyDescent="0.3">
      <c r="A1968">
        <v>590</v>
      </c>
      <c r="B1968" t="s">
        <v>76</v>
      </c>
      <c r="C1968" t="s">
        <v>68</v>
      </c>
      <c r="D1968">
        <v>0</v>
      </c>
      <c r="E1968" t="s">
        <v>217</v>
      </c>
    </row>
    <row r="1969" spans="1:5" x14ac:dyDescent="0.3">
      <c r="A1969">
        <v>590</v>
      </c>
      <c r="B1969" t="s">
        <v>75</v>
      </c>
      <c r="C1969" t="s">
        <v>65</v>
      </c>
      <c r="D1969">
        <v>0</v>
      </c>
      <c r="E1969" t="s">
        <v>94</v>
      </c>
    </row>
    <row r="1970" spans="1:5" x14ac:dyDescent="0.3">
      <c r="A1970">
        <v>591</v>
      </c>
      <c r="B1970" t="s">
        <v>29</v>
      </c>
      <c r="C1970" t="s">
        <v>68</v>
      </c>
      <c r="D1970">
        <v>0</v>
      </c>
      <c r="E1970" t="s">
        <v>217</v>
      </c>
    </row>
    <row r="1971" spans="1:5" x14ac:dyDescent="0.3">
      <c r="A1971">
        <v>591</v>
      </c>
      <c r="B1971" t="s">
        <v>8</v>
      </c>
      <c r="C1971" t="s">
        <v>36</v>
      </c>
      <c r="D1971">
        <v>0</v>
      </c>
      <c r="E1971" t="s">
        <v>572</v>
      </c>
    </row>
    <row r="1972" spans="1:5" x14ac:dyDescent="0.3">
      <c r="A1972">
        <v>591</v>
      </c>
      <c r="B1972" t="s">
        <v>5</v>
      </c>
      <c r="C1972" t="s">
        <v>36</v>
      </c>
      <c r="D1972">
        <v>1</v>
      </c>
      <c r="E1972" t="s">
        <v>815</v>
      </c>
    </row>
    <row r="1973" spans="1:5" x14ac:dyDescent="0.3">
      <c r="A1973">
        <v>591</v>
      </c>
      <c r="B1973" t="s">
        <v>76</v>
      </c>
      <c r="C1973" t="s">
        <v>68</v>
      </c>
      <c r="D1973">
        <v>1</v>
      </c>
      <c r="E1973" t="s">
        <v>817</v>
      </c>
    </row>
    <row r="1974" spans="1:5" x14ac:dyDescent="0.3">
      <c r="A1974">
        <v>591</v>
      </c>
      <c r="B1974" t="s">
        <v>74</v>
      </c>
      <c r="C1974" t="s">
        <v>65</v>
      </c>
      <c r="D1974">
        <v>35</v>
      </c>
      <c r="E1974" t="s">
        <v>572</v>
      </c>
    </row>
    <row r="1975" spans="1:5" x14ac:dyDescent="0.3">
      <c r="A1975">
        <v>591</v>
      </c>
      <c r="B1975" t="s">
        <v>35</v>
      </c>
      <c r="C1975" t="s">
        <v>68</v>
      </c>
      <c r="D1975">
        <v>0</v>
      </c>
      <c r="E1975" t="s">
        <v>524</v>
      </c>
    </row>
    <row r="1976" spans="1:5" x14ac:dyDescent="0.3">
      <c r="A1976">
        <v>591</v>
      </c>
      <c r="B1976" t="s">
        <v>34</v>
      </c>
      <c r="C1976" t="s">
        <v>68</v>
      </c>
      <c r="D1976">
        <v>3</v>
      </c>
      <c r="E1976" t="s">
        <v>572</v>
      </c>
    </row>
    <row r="1977" spans="1:5" x14ac:dyDescent="0.3">
      <c r="A1977">
        <v>591</v>
      </c>
      <c r="B1977" t="s">
        <v>33</v>
      </c>
      <c r="C1977" t="s">
        <v>68</v>
      </c>
      <c r="D1977">
        <v>0</v>
      </c>
      <c r="E1977" t="s">
        <v>94</v>
      </c>
    </row>
    <row r="1978" spans="1:5" x14ac:dyDescent="0.3">
      <c r="A1978">
        <v>591</v>
      </c>
      <c r="B1978" t="s">
        <v>80</v>
      </c>
      <c r="C1978" t="s">
        <v>68</v>
      </c>
      <c r="D1978">
        <v>1</v>
      </c>
      <c r="E1978" t="s">
        <v>816</v>
      </c>
    </row>
    <row r="1979" spans="1:5" x14ac:dyDescent="0.3">
      <c r="A1979">
        <v>591</v>
      </c>
      <c r="B1979" t="s">
        <v>28</v>
      </c>
      <c r="C1979" t="s">
        <v>68</v>
      </c>
      <c r="D1979">
        <v>1</v>
      </c>
      <c r="E1979" t="s">
        <v>813</v>
      </c>
    </row>
    <row r="1980" spans="1:5" x14ac:dyDescent="0.3">
      <c r="A1980">
        <v>591</v>
      </c>
      <c r="B1980" t="s">
        <v>21</v>
      </c>
      <c r="C1980" t="s">
        <v>65</v>
      </c>
      <c r="D1980">
        <v>3</v>
      </c>
      <c r="E1980" t="s">
        <v>572</v>
      </c>
    </row>
    <row r="1981" spans="1:5" x14ac:dyDescent="0.3">
      <c r="A1981">
        <v>591</v>
      </c>
      <c r="B1981" t="s">
        <v>18</v>
      </c>
      <c r="C1981" t="s">
        <v>37</v>
      </c>
      <c r="D1981">
        <v>671</v>
      </c>
      <c r="E1981" t="s">
        <v>814</v>
      </c>
    </row>
    <row r="1982" spans="1:5" x14ac:dyDescent="0.3">
      <c r="A1982">
        <v>591</v>
      </c>
      <c r="B1982" t="s">
        <v>3</v>
      </c>
      <c r="C1982" t="s">
        <v>37</v>
      </c>
      <c r="D1982">
        <v>36</v>
      </c>
      <c r="E1982" t="s">
        <v>684</v>
      </c>
    </row>
    <row r="1983" spans="1:5" x14ac:dyDescent="0.3">
      <c r="A1983">
        <v>591</v>
      </c>
      <c r="B1983" t="s">
        <v>11</v>
      </c>
      <c r="C1983" t="s">
        <v>37</v>
      </c>
      <c r="D1983">
        <v>36</v>
      </c>
      <c r="E1983" t="s">
        <v>684</v>
      </c>
    </row>
    <row r="1984" spans="1:5" x14ac:dyDescent="0.3">
      <c r="A1984">
        <v>591</v>
      </c>
      <c r="B1984" t="s">
        <v>23</v>
      </c>
      <c r="C1984" t="s">
        <v>65</v>
      </c>
      <c r="D1984">
        <v>1</v>
      </c>
      <c r="E1984" t="s">
        <v>236</v>
      </c>
    </row>
    <row r="1985" spans="1:5" x14ac:dyDescent="0.3">
      <c r="A1985">
        <v>591</v>
      </c>
      <c r="B1985" t="s">
        <v>10</v>
      </c>
      <c r="C1985" t="s">
        <v>37</v>
      </c>
      <c r="D1985">
        <v>1</v>
      </c>
      <c r="E1985" t="s">
        <v>524</v>
      </c>
    </row>
    <row r="1986" spans="1:5" x14ac:dyDescent="0.3">
      <c r="A1986">
        <v>592</v>
      </c>
      <c r="B1986" t="s">
        <v>5</v>
      </c>
      <c r="C1986" t="s">
        <v>36</v>
      </c>
      <c r="D1986">
        <v>0</v>
      </c>
      <c r="E1986" t="s">
        <v>662</v>
      </c>
    </row>
    <row r="1987" spans="1:5" x14ac:dyDescent="0.3">
      <c r="A1987">
        <v>592</v>
      </c>
      <c r="B1987" t="s">
        <v>9</v>
      </c>
      <c r="C1987" t="s">
        <v>37</v>
      </c>
      <c r="D1987">
        <v>4</v>
      </c>
      <c r="E1987" t="s">
        <v>823</v>
      </c>
    </row>
    <row r="1988" spans="1:5" x14ac:dyDescent="0.3">
      <c r="A1988">
        <v>592</v>
      </c>
      <c r="B1988" t="s">
        <v>10</v>
      </c>
      <c r="C1988" t="s">
        <v>37</v>
      </c>
      <c r="D1988">
        <v>5</v>
      </c>
      <c r="E1988" t="s">
        <v>822</v>
      </c>
    </row>
    <row r="1989" spans="1:5" x14ac:dyDescent="0.3">
      <c r="A1989">
        <v>592</v>
      </c>
      <c r="B1989" t="s">
        <v>11</v>
      </c>
      <c r="C1989" t="s">
        <v>37</v>
      </c>
      <c r="D1989">
        <v>0</v>
      </c>
      <c r="E1989" t="s">
        <v>818</v>
      </c>
    </row>
    <row r="1990" spans="1:5" x14ac:dyDescent="0.3">
      <c r="A1990">
        <v>592</v>
      </c>
      <c r="B1990" t="s">
        <v>3</v>
      </c>
      <c r="C1990" t="s">
        <v>37</v>
      </c>
      <c r="D1990">
        <v>0</v>
      </c>
      <c r="E1990" t="s">
        <v>821</v>
      </c>
    </row>
    <row r="1991" spans="1:5" x14ac:dyDescent="0.3">
      <c r="A1991">
        <v>592</v>
      </c>
      <c r="B1991" t="s">
        <v>18</v>
      </c>
      <c r="C1991" t="s">
        <v>37</v>
      </c>
      <c r="D1991">
        <v>0</v>
      </c>
      <c r="E1991" t="s">
        <v>94</v>
      </c>
    </row>
    <row r="1992" spans="1:5" x14ac:dyDescent="0.3">
      <c r="A1992">
        <v>592</v>
      </c>
      <c r="B1992" t="s">
        <v>75</v>
      </c>
      <c r="C1992" t="s">
        <v>65</v>
      </c>
      <c r="D1992">
        <v>0</v>
      </c>
      <c r="E1992" t="s">
        <v>217</v>
      </c>
    </row>
    <row r="1993" spans="1:5" x14ac:dyDescent="0.3">
      <c r="A1993">
        <v>592</v>
      </c>
      <c r="B1993" t="s">
        <v>80</v>
      </c>
      <c r="C1993" t="s">
        <v>68</v>
      </c>
      <c r="D1993">
        <v>6</v>
      </c>
      <c r="E1993" t="s">
        <v>820</v>
      </c>
    </row>
    <row r="1994" spans="1:5" x14ac:dyDescent="0.3">
      <c r="A1994">
        <v>592</v>
      </c>
      <c r="B1994" t="s">
        <v>606</v>
      </c>
      <c r="C1994" t="s">
        <v>84</v>
      </c>
      <c r="D1994">
        <v>0</v>
      </c>
      <c r="E1994" t="s">
        <v>94</v>
      </c>
    </row>
    <row r="1995" spans="1:5" x14ac:dyDescent="0.3">
      <c r="A1995">
        <v>592</v>
      </c>
      <c r="B1995" t="s">
        <v>76</v>
      </c>
      <c r="C1995" t="s">
        <v>68</v>
      </c>
      <c r="D1995">
        <v>2</v>
      </c>
      <c r="E1995" t="s">
        <v>819</v>
      </c>
    </row>
    <row r="1996" spans="1:5" x14ac:dyDescent="0.3">
      <c r="A1996">
        <v>593</v>
      </c>
      <c r="B1996" t="s">
        <v>76</v>
      </c>
      <c r="C1996" t="s">
        <v>68</v>
      </c>
      <c r="D1996">
        <v>15</v>
      </c>
      <c r="E1996" t="s">
        <v>829</v>
      </c>
    </row>
    <row r="1997" spans="1:5" x14ac:dyDescent="0.3">
      <c r="A1997">
        <v>593</v>
      </c>
      <c r="B1997" t="s">
        <v>5</v>
      </c>
      <c r="C1997" t="s">
        <v>36</v>
      </c>
      <c r="D1997">
        <v>2</v>
      </c>
      <c r="E1997" t="s">
        <v>828</v>
      </c>
    </row>
    <row r="1998" spans="1:5" x14ac:dyDescent="0.3">
      <c r="A1998">
        <v>593</v>
      </c>
      <c r="B1998" t="s">
        <v>20</v>
      </c>
      <c r="C1998" t="s">
        <v>65</v>
      </c>
      <c r="D1998">
        <v>0</v>
      </c>
      <c r="E1998" t="s">
        <v>217</v>
      </c>
    </row>
    <row r="1999" spans="1:5" x14ac:dyDescent="0.3">
      <c r="A1999">
        <v>593</v>
      </c>
      <c r="B1999" t="s">
        <v>21</v>
      </c>
      <c r="C1999" t="s">
        <v>65</v>
      </c>
      <c r="D1999">
        <v>4</v>
      </c>
      <c r="E1999" t="s">
        <v>830</v>
      </c>
    </row>
    <row r="2000" spans="1:5" x14ac:dyDescent="0.3">
      <c r="A2000">
        <v>593</v>
      </c>
      <c r="B2000" t="s">
        <v>25</v>
      </c>
      <c r="C2000" t="s">
        <v>84</v>
      </c>
      <c r="D2000">
        <v>2084</v>
      </c>
      <c r="E2000" t="s">
        <v>826</v>
      </c>
    </row>
    <row r="2001" spans="1:5" x14ac:dyDescent="0.3">
      <c r="A2001">
        <v>593</v>
      </c>
      <c r="B2001" t="s">
        <v>29</v>
      </c>
      <c r="C2001" t="s">
        <v>68</v>
      </c>
      <c r="D2001">
        <v>2</v>
      </c>
      <c r="E2001" t="s">
        <v>524</v>
      </c>
    </row>
    <row r="2002" spans="1:5" x14ac:dyDescent="0.3">
      <c r="A2002">
        <v>593</v>
      </c>
      <c r="B2002" t="s">
        <v>30</v>
      </c>
      <c r="C2002" t="s">
        <v>68</v>
      </c>
      <c r="D2002">
        <v>3</v>
      </c>
      <c r="E2002" t="s">
        <v>824</v>
      </c>
    </row>
    <row r="2003" spans="1:5" x14ac:dyDescent="0.3">
      <c r="A2003">
        <v>593</v>
      </c>
      <c r="B2003" t="s">
        <v>74</v>
      </c>
      <c r="C2003" t="s">
        <v>65</v>
      </c>
      <c r="D2003">
        <v>0</v>
      </c>
      <c r="E2003" t="s">
        <v>217</v>
      </c>
    </row>
    <row r="2004" spans="1:5" x14ac:dyDescent="0.3">
      <c r="A2004">
        <v>593</v>
      </c>
      <c r="B2004" t="s">
        <v>9</v>
      </c>
      <c r="C2004" t="s">
        <v>37</v>
      </c>
      <c r="D2004">
        <v>2</v>
      </c>
      <c r="E2004" t="s">
        <v>825</v>
      </c>
    </row>
    <row r="2005" spans="1:5" x14ac:dyDescent="0.3">
      <c r="A2005">
        <v>593</v>
      </c>
      <c r="B2005" t="s">
        <v>33</v>
      </c>
      <c r="C2005" t="s">
        <v>68</v>
      </c>
      <c r="D2005">
        <v>1418</v>
      </c>
      <c r="E2005" t="s">
        <v>827</v>
      </c>
    </row>
    <row r="2006" spans="1:5" x14ac:dyDescent="0.3">
      <c r="A2006">
        <v>594</v>
      </c>
      <c r="B2006" t="s">
        <v>606</v>
      </c>
      <c r="C2006" t="s">
        <v>84</v>
      </c>
      <c r="D2006">
        <v>0</v>
      </c>
      <c r="E2006" t="s">
        <v>94</v>
      </c>
    </row>
    <row r="2007" spans="1:5" x14ac:dyDescent="0.3">
      <c r="A2007">
        <v>594</v>
      </c>
      <c r="B2007" t="s">
        <v>14</v>
      </c>
      <c r="C2007" t="s">
        <v>37</v>
      </c>
      <c r="D2007">
        <v>0</v>
      </c>
      <c r="E2007" t="s">
        <v>217</v>
      </c>
    </row>
    <row r="2008" spans="1:5" x14ac:dyDescent="0.3">
      <c r="A2008">
        <v>594</v>
      </c>
      <c r="B2008" t="s">
        <v>23</v>
      </c>
      <c r="C2008" t="s">
        <v>65</v>
      </c>
      <c r="D2008">
        <v>0</v>
      </c>
      <c r="E2008" t="s">
        <v>339</v>
      </c>
    </row>
    <row r="2009" spans="1:5" x14ac:dyDescent="0.3">
      <c r="A2009">
        <v>594</v>
      </c>
      <c r="B2009" t="s">
        <v>80</v>
      </c>
      <c r="C2009" t="s">
        <v>68</v>
      </c>
      <c r="D2009">
        <v>2</v>
      </c>
      <c r="E2009" t="s">
        <v>831</v>
      </c>
    </row>
    <row r="2010" spans="1:5" x14ac:dyDescent="0.3">
      <c r="A2010">
        <v>594</v>
      </c>
      <c r="B2010" t="s">
        <v>18</v>
      </c>
      <c r="C2010" t="s">
        <v>37</v>
      </c>
      <c r="D2010">
        <v>1</v>
      </c>
      <c r="E2010" t="s">
        <v>684</v>
      </c>
    </row>
    <row r="2011" spans="1:5" x14ac:dyDescent="0.3">
      <c r="A2011">
        <v>594</v>
      </c>
      <c r="B2011" t="s">
        <v>76</v>
      </c>
      <c r="C2011" t="s">
        <v>68</v>
      </c>
      <c r="D2011">
        <v>4</v>
      </c>
      <c r="E2011" t="s">
        <v>831</v>
      </c>
    </row>
    <row r="2012" spans="1:5" x14ac:dyDescent="0.3">
      <c r="A2012">
        <v>594</v>
      </c>
      <c r="B2012" t="s">
        <v>10</v>
      </c>
      <c r="C2012" t="s">
        <v>37</v>
      </c>
      <c r="D2012">
        <v>7</v>
      </c>
      <c r="E2012" t="s">
        <v>655</v>
      </c>
    </row>
    <row r="2013" spans="1:5" x14ac:dyDescent="0.3">
      <c r="A2013">
        <v>594</v>
      </c>
      <c r="B2013" t="s">
        <v>9</v>
      </c>
      <c r="C2013" t="s">
        <v>37</v>
      </c>
      <c r="D2013">
        <v>17</v>
      </c>
      <c r="E2013" t="s">
        <v>832</v>
      </c>
    </row>
    <row r="2014" spans="1:5" x14ac:dyDescent="0.3">
      <c r="A2014">
        <v>594</v>
      </c>
      <c r="B2014" t="s">
        <v>5</v>
      </c>
      <c r="C2014" t="s">
        <v>36</v>
      </c>
      <c r="D2014">
        <v>0</v>
      </c>
      <c r="E2014" t="s">
        <v>572</v>
      </c>
    </row>
    <row r="2015" spans="1:5" x14ac:dyDescent="0.3">
      <c r="A2015">
        <v>594</v>
      </c>
      <c r="B2015" t="s">
        <v>30</v>
      </c>
      <c r="C2015" t="s">
        <v>68</v>
      </c>
      <c r="D2015">
        <v>2</v>
      </c>
      <c r="E2015" t="s">
        <v>831</v>
      </c>
    </row>
    <row r="2016" spans="1:5" x14ac:dyDescent="0.3">
      <c r="A2016">
        <v>594</v>
      </c>
      <c r="B2016" t="s">
        <v>75</v>
      </c>
      <c r="C2016" t="s">
        <v>65</v>
      </c>
      <c r="D2016">
        <v>1</v>
      </c>
      <c r="E2016" t="s">
        <v>833</v>
      </c>
    </row>
    <row r="2017" spans="1:5" x14ac:dyDescent="0.3">
      <c r="A2017">
        <v>595</v>
      </c>
      <c r="B2017" t="s">
        <v>606</v>
      </c>
      <c r="C2017" t="s">
        <v>84</v>
      </c>
      <c r="D2017">
        <v>1</v>
      </c>
      <c r="E2017" t="s">
        <v>94</v>
      </c>
    </row>
    <row r="2018" spans="1:5" x14ac:dyDescent="0.3">
      <c r="A2018">
        <v>595</v>
      </c>
      <c r="B2018" t="s">
        <v>77</v>
      </c>
      <c r="C2018" t="s">
        <v>65</v>
      </c>
      <c r="D2018">
        <v>0</v>
      </c>
      <c r="E2018" t="s">
        <v>94</v>
      </c>
    </row>
    <row r="2019" spans="1:5" x14ac:dyDescent="0.3">
      <c r="A2019">
        <v>595</v>
      </c>
      <c r="B2019" t="s">
        <v>31</v>
      </c>
      <c r="C2019" t="s">
        <v>68</v>
      </c>
      <c r="D2019">
        <v>1</v>
      </c>
      <c r="E2019" t="s">
        <v>204</v>
      </c>
    </row>
    <row r="2020" spans="1:5" x14ac:dyDescent="0.3">
      <c r="A2020">
        <v>595</v>
      </c>
      <c r="B2020" t="s">
        <v>34</v>
      </c>
      <c r="C2020" t="s">
        <v>68</v>
      </c>
      <c r="D2020">
        <v>0</v>
      </c>
      <c r="E2020" t="s">
        <v>94</v>
      </c>
    </row>
    <row r="2021" spans="1:5" x14ac:dyDescent="0.3">
      <c r="A2021">
        <v>595</v>
      </c>
      <c r="B2021" t="s">
        <v>35</v>
      </c>
      <c r="C2021" t="s">
        <v>68</v>
      </c>
      <c r="D2021">
        <v>4</v>
      </c>
      <c r="E2021" t="s">
        <v>204</v>
      </c>
    </row>
    <row r="2022" spans="1:5" x14ac:dyDescent="0.3">
      <c r="A2022">
        <v>595</v>
      </c>
      <c r="B2022" t="s">
        <v>74</v>
      </c>
      <c r="C2022" t="s">
        <v>65</v>
      </c>
      <c r="D2022">
        <v>0</v>
      </c>
      <c r="E2022" t="s">
        <v>217</v>
      </c>
    </row>
    <row r="2023" spans="1:5" x14ac:dyDescent="0.3">
      <c r="A2023">
        <v>595</v>
      </c>
      <c r="B2023" t="s">
        <v>21</v>
      </c>
      <c r="C2023" t="s">
        <v>65</v>
      </c>
      <c r="D2023">
        <v>26</v>
      </c>
      <c r="E2023" t="s">
        <v>676</v>
      </c>
    </row>
    <row r="2024" spans="1:5" x14ac:dyDescent="0.3">
      <c r="A2024">
        <v>595</v>
      </c>
      <c r="B2024" t="s">
        <v>26</v>
      </c>
      <c r="C2024" t="s">
        <v>84</v>
      </c>
      <c r="D2024">
        <v>0</v>
      </c>
      <c r="E2024" t="s">
        <v>94</v>
      </c>
    </row>
    <row r="2025" spans="1:5" x14ac:dyDescent="0.3">
      <c r="A2025">
        <v>595</v>
      </c>
      <c r="B2025" t="s">
        <v>5</v>
      </c>
      <c r="C2025" t="s">
        <v>36</v>
      </c>
      <c r="D2025">
        <v>1</v>
      </c>
      <c r="E2025" t="s">
        <v>837</v>
      </c>
    </row>
    <row r="2026" spans="1:5" x14ac:dyDescent="0.3">
      <c r="A2026">
        <v>595</v>
      </c>
      <c r="B2026" t="s">
        <v>18</v>
      </c>
      <c r="C2026" t="s">
        <v>37</v>
      </c>
      <c r="D2026">
        <v>28</v>
      </c>
      <c r="E2026" t="s">
        <v>834</v>
      </c>
    </row>
    <row r="2027" spans="1:5" x14ac:dyDescent="0.3">
      <c r="A2027">
        <v>595</v>
      </c>
      <c r="B2027" t="s">
        <v>30</v>
      </c>
      <c r="C2027" t="s">
        <v>68</v>
      </c>
      <c r="D2027">
        <v>5</v>
      </c>
      <c r="E2027" t="s">
        <v>836</v>
      </c>
    </row>
    <row r="2028" spans="1:5" x14ac:dyDescent="0.3">
      <c r="A2028">
        <v>595</v>
      </c>
      <c r="B2028" t="s">
        <v>76</v>
      </c>
      <c r="C2028" t="s">
        <v>68</v>
      </c>
      <c r="D2028">
        <v>0</v>
      </c>
      <c r="E2028" t="s">
        <v>94</v>
      </c>
    </row>
    <row r="2029" spans="1:5" x14ac:dyDescent="0.3">
      <c r="A2029">
        <v>595</v>
      </c>
      <c r="B2029" t="s">
        <v>9</v>
      </c>
      <c r="C2029" t="s">
        <v>37</v>
      </c>
      <c r="D2029">
        <v>8</v>
      </c>
      <c r="E2029" t="s">
        <v>835</v>
      </c>
    </row>
    <row r="2030" spans="1:5" x14ac:dyDescent="0.3">
      <c r="A2030">
        <v>596</v>
      </c>
      <c r="B2030" t="s">
        <v>4</v>
      </c>
      <c r="C2030" t="s">
        <v>36</v>
      </c>
      <c r="D2030">
        <v>0</v>
      </c>
      <c r="E2030" t="s">
        <v>740</v>
      </c>
    </row>
    <row r="2031" spans="1:5" x14ac:dyDescent="0.3">
      <c r="A2031">
        <v>597</v>
      </c>
      <c r="B2031" t="s">
        <v>606</v>
      </c>
      <c r="C2031" t="s">
        <v>84</v>
      </c>
      <c r="D2031">
        <v>13</v>
      </c>
      <c r="E2031" t="s">
        <v>696</v>
      </c>
    </row>
    <row r="2032" spans="1:5" x14ac:dyDescent="0.3">
      <c r="A2032">
        <v>597</v>
      </c>
      <c r="B2032" t="s">
        <v>76</v>
      </c>
      <c r="C2032" t="s">
        <v>68</v>
      </c>
      <c r="D2032">
        <v>3</v>
      </c>
      <c r="E2032" t="s">
        <v>378</v>
      </c>
    </row>
    <row r="2033" spans="1:5" x14ac:dyDescent="0.3">
      <c r="A2033">
        <v>597</v>
      </c>
      <c r="B2033" t="s">
        <v>80</v>
      </c>
      <c r="C2033" t="s">
        <v>68</v>
      </c>
      <c r="D2033">
        <v>0</v>
      </c>
      <c r="E2033" t="s">
        <v>684</v>
      </c>
    </row>
    <row r="2034" spans="1:5" x14ac:dyDescent="0.3">
      <c r="A2034">
        <v>597</v>
      </c>
      <c r="B2034" t="s">
        <v>31</v>
      </c>
      <c r="C2034" t="s">
        <v>68</v>
      </c>
      <c r="D2034">
        <v>11</v>
      </c>
      <c r="E2034" t="s">
        <v>838</v>
      </c>
    </row>
    <row r="2035" spans="1:5" x14ac:dyDescent="0.3">
      <c r="A2035">
        <v>597</v>
      </c>
      <c r="B2035" t="s">
        <v>30</v>
      </c>
      <c r="C2035" t="s">
        <v>68</v>
      </c>
      <c r="D2035">
        <v>1</v>
      </c>
      <c r="E2035" t="s">
        <v>839</v>
      </c>
    </row>
    <row r="2036" spans="1:5" x14ac:dyDescent="0.3">
      <c r="A2036">
        <v>597</v>
      </c>
      <c r="B2036" t="s">
        <v>26</v>
      </c>
      <c r="C2036" t="s">
        <v>84</v>
      </c>
      <c r="D2036">
        <v>0</v>
      </c>
      <c r="E2036" t="s">
        <v>840</v>
      </c>
    </row>
    <row r="2037" spans="1:5" x14ac:dyDescent="0.3">
      <c r="A2037">
        <v>597</v>
      </c>
      <c r="B2037" t="s">
        <v>5</v>
      </c>
      <c r="C2037" t="s">
        <v>36</v>
      </c>
      <c r="D2037">
        <v>0</v>
      </c>
      <c r="E2037" t="s">
        <v>637</v>
      </c>
    </row>
    <row r="2038" spans="1:5" x14ac:dyDescent="0.3">
      <c r="A2038">
        <v>597</v>
      </c>
      <c r="B2038" t="s">
        <v>4</v>
      </c>
      <c r="C2038" t="s">
        <v>36</v>
      </c>
      <c r="D2038">
        <v>0</v>
      </c>
      <c r="E2038" t="s">
        <v>204</v>
      </c>
    </row>
    <row r="2039" spans="1:5" x14ac:dyDescent="0.3">
      <c r="A2039">
        <v>597</v>
      </c>
      <c r="B2039" t="s">
        <v>20</v>
      </c>
      <c r="C2039" t="s">
        <v>65</v>
      </c>
      <c r="D2039">
        <v>0</v>
      </c>
      <c r="E2039" t="s">
        <v>217</v>
      </c>
    </row>
    <row r="2040" spans="1:5" x14ac:dyDescent="0.3">
      <c r="A2040">
        <v>597</v>
      </c>
      <c r="B2040" t="s">
        <v>19</v>
      </c>
      <c r="C2040" t="s">
        <v>65</v>
      </c>
      <c r="D2040">
        <v>4</v>
      </c>
      <c r="E2040" t="s">
        <v>513</v>
      </c>
    </row>
    <row r="2041" spans="1:5" x14ac:dyDescent="0.3">
      <c r="A2041">
        <v>597</v>
      </c>
      <c r="B2041" t="s">
        <v>18</v>
      </c>
      <c r="C2041" t="s">
        <v>37</v>
      </c>
      <c r="D2041">
        <v>2</v>
      </c>
      <c r="E2041" t="s">
        <v>841</v>
      </c>
    </row>
    <row r="2042" spans="1:5" x14ac:dyDescent="0.3">
      <c r="A2042">
        <v>597</v>
      </c>
      <c r="B2042" t="s">
        <v>8</v>
      </c>
      <c r="C2042" t="s">
        <v>36</v>
      </c>
      <c r="D2042">
        <v>0</v>
      </c>
      <c r="E2042" t="s">
        <v>842</v>
      </c>
    </row>
    <row r="2043" spans="1:5" x14ac:dyDescent="0.3">
      <c r="A2043">
        <v>598</v>
      </c>
      <c r="B2043" t="s">
        <v>76</v>
      </c>
      <c r="C2043" t="s">
        <v>68</v>
      </c>
      <c r="D2043">
        <v>1</v>
      </c>
      <c r="E2043" t="s">
        <v>848</v>
      </c>
    </row>
    <row r="2044" spans="1:5" x14ac:dyDescent="0.3">
      <c r="A2044">
        <v>598</v>
      </c>
      <c r="B2044" t="s">
        <v>5</v>
      </c>
      <c r="C2044" t="s">
        <v>36</v>
      </c>
      <c r="D2044">
        <v>0</v>
      </c>
      <c r="E2044" t="s">
        <v>662</v>
      </c>
    </row>
    <row r="2045" spans="1:5" x14ac:dyDescent="0.3">
      <c r="A2045">
        <v>598</v>
      </c>
      <c r="B2045" t="s">
        <v>9</v>
      </c>
      <c r="C2045" t="s">
        <v>37</v>
      </c>
      <c r="D2045">
        <v>42</v>
      </c>
      <c r="E2045" t="s">
        <v>387</v>
      </c>
    </row>
    <row r="2046" spans="1:5" x14ac:dyDescent="0.3">
      <c r="A2046">
        <v>598</v>
      </c>
      <c r="B2046" t="s">
        <v>11</v>
      </c>
      <c r="C2046" t="s">
        <v>37</v>
      </c>
      <c r="D2046">
        <v>1</v>
      </c>
      <c r="E2046" t="s">
        <v>845</v>
      </c>
    </row>
    <row r="2047" spans="1:5" x14ac:dyDescent="0.3">
      <c r="A2047">
        <v>598</v>
      </c>
      <c r="B2047" t="s">
        <v>3</v>
      </c>
      <c r="C2047" t="s">
        <v>37</v>
      </c>
      <c r="D2047">
        <v>0</v>
      </c>
      <c r="E2047" t="s">
        <v>217</v>
      </c>
    </row>
    <row r="2048" spans="1:5" x14ac:dyDescent="0.3">
      <c r="A2048">
        <v>598</v>
      </c>
      <c r="B2048" t="s">
        <v>17</v>
      </c>
      <c r="C2048" t="s">
        <v>37</v>
      </c>
      <c r="D2048">
        <v>2</v>
      </c>
      <c r="E2048" t="s">
        <v>847</v>
      </c>
    </row>
    <row r="2049" spans="1:5" x14ac:dyDescent="0.3">
      <c r="A2049">
        <v>598</v>
      </c>
      <c r="B2049" t="s">
        <v>19</v>
      </c>
      <c r="C2049" t="s">
        <v>65</v>
      </c>
      <c r="D2049">
        <v>4</v>
      </c>
      <c r="E2049" t="s">
        <v>835</v>
      </c>
    </row>
    <row r="2050" spans="1:5" x14ac:dyDescent="0.3">
      <c r="A2050">
        <v>598</v>
      </c>
      <c r="B2050" t="s">
        <v>75</v>
      </c>
      <c r="C2050" t="s">
        <v>65</v>
      </c>
      <c r="D2050">
        <v>0</v>
      </c>
      <c r="E2050" t="s">
        <v>217</v>
      </c>
    </row>
    <row r="2051" spans="1:5" x14ac:dyDescent="0.3">
      <c r="A2051">
        <v>598</v>
      </c>
      <c r="B2051" t="s">
        <v>80</v>
      </c>
      <c r="C2051" t="s">
        <v>68</v>
      </c>
      <c r="D2051">
        <v>0</v>
      </c>
      <c r="E2051" t="s">
        <v>846</v>
      </c>
    </row>
    <row r="2052" spans="1:5" x14ac:dyDescent="0.3">
      <c r="A2052">
        <v>598</v>
      </c>
      <c r="B2052" t="s">
        <v>33</v>
      </c>
      <c r="C2052" t="s">
        <v>68</v>
      </c>
      <c r="D2052">
        <v>1</v>
      </c>
      <c r="E2052" t="s">
        <v>844</v>
      </c>
    </row>
    <row r="2053" spans="1:5" x14ac:dyDescent="0.3">
      <c r="A2053">
        <v>598</v>
      </c>
      <c r="B2053" t="s">
        <v>77</v>
      </c>
      <c r="C2053" t="s">
        <v>65</v>
      </c>
      <c r="D2053">
        <v>1</v>
      </c>
      <c r="E2053" t="s">
        <v>843</v>
      </c>
    </row>
    <row r="2054" spans="1:5" x14ac:dyDescent="0.3">
      <c r="A2054">
        <v>598</v>
      </c>
      <c r="B2054" t="s">
        <v>34</v>
      </c>
      <c r="C2054" t="s">
        <v>68</v>
      </c>
      <c r="D2054">
        <v>0</v>
      </c>
      <c r="E2054" t="s">
        <v>524</v>
      </c>
    </row>
    <row r="2055" spans="1:5" x14ac:dyDescent="0.3">
      <c r="A2055">
        <v>599</v>
      </c>
      <c r="B2055" t="s">
        <v>21</v>
      </c>
      <c r="C2055" t="s">
        <v>65</v>
      </c>
      <c r="D2055">
        <v>5</v>
      </c>
      <c r="E2055" t="s">
        <v>387</v>
      </c>
    </row>
    <row r="2056" spans="1:5" x14ac:dyDescent="0.3">
      <c r="A2056">
        <v>599</v>
      </c>
      <c r="B2056" t="s">
        <v>9</v>
      </c>
      <c r="C2056" t="s">
        <v>37</v>
      </c>
      <c r="D2056">
        <v>56</v>
      </c>
      <c r="E2056" t="s">
        <v>655</v>
      </c>
    </row>
    <row r="2057" spans="1:5" x14ac:dyDescent="0.3">
      <c r="A2057">
        <v>599</v>
      </c>
      <c r="B2057" t="s">
        <v>10</v>
      </c>
      <c r="C2057" t="s">
        <v>37</v>
      </c>
      <c r="D2057">
        <v>18</v>
      </c>
      <c r="E2057" t="s">
        <v>387</v>
      </c>
    </row>
    <row r="2058" spans="1:5" x14ac:dyDescent="0.3">
      <c r="A2058">
        <v>599</v>
      </c>
      <c r="B2058" t="s">
        <v>19</v>
      </c>
      <c r="C2058" t="s">
        <v>65</v>
      </c>
      <c r="D2058">
        <v>2</v>
      </c>
      <c r="E2058" t="s">
        <v>753</v>
      </c>
    </row>
    <row r="2059" spans="1:5" x14ac:dyDescent="0.3">
      <c r="A2059">
        <v>599</v>
      </c>
      <c r="B2059" t="s">
        <v>5</v>
      </c>
      <c r="C2059" t="s">
        <v>36</v>
      </c>
      <c r="D2059">
        <v>1</v>
      </c>
      <c r="E2059" t="s">
        <v>637</v>
      </c>
    </row>
    <row r="2060" spans="1:5" x14ac:dyDescent="0.3">
      <c r="A2060">
        <v>599</v>
      </c>
      <c r="B2060" t="s">
        <v>23</v>
      </c>
      <c r="C2060" t="s">
        <v>65</v>
      </c>
      <c r="D2060">
        <v>3</v>
      </c>
      <c r="E2060" t="s">
        <v>387</v>
      </c>
    </row>
    <row r="2061" spans="1:5" x14ac:dyDescent="0.3">
      <c r="A2061">
        <v>599</v>
      </c>
      <c r="B2061" t="s">
        <v>35</v>
      </c>
      <c r="C2061" t="s">
        <v>68</v>
      </c>
      <c r="D2061">
        <v>0</v>
      </c>
      <c r="E2061" t="s">
        <v>524</v>
      </c>
    </row>
    <row r="2062" spans="1:5" x14ac:dyDescent="0.3">
      <c r="A2062">
        <v>599</v>
      </c>
      <c r="B2062" t="s">
        <v>606</v>
      </c>
      <c r="C2062" t="s">
        <v>84</v>
      </c>
      <c r="D2062">
        <v>6</v>
      </c>
      <c r="E2062" t="s">
        <v>572</v>
      </c>
    </row>
    <row r="2063" spans="1:5" x14ac:dyDescent="0.3">
      <c r="A2063">
        <v>599</v>
      </c>
      <c r="B2063" t="s">
        <v>14</v>
      </c>
      <c r="C2063" t="s">
        <v>37</v>
      </c>
      <c r="D2063">
        <v>0</v>
      </c>
      <c r="E2063" t="s">
        <v>217</v>
      </c>
    </row>
    <row r="2064" spans="1:5" x14ac:dyDescent="0.3">
      <c r="A2064">
        <v>600</v>
      </c>
      <c r="B2064" t="s">
        <v>4</v>
      </c>
      <c r="C2064" t="s">
        <v>36</v>
      </c>
      <c r="D2064">
        <v>2</v>
      </c>
      <c r="E2064" t="s">
        <v>849</v>
      </c>
    </row>
    <row r="2065" spans="1:5" x14ac:dyDescent="0.3">
      <c r="A2065">
        <v>600</v>
      </c>
      <c r="B2065" t="s">
        <v>5</v>
      </c>
      <c r="C2065" t="s">
        <v>36</v>
      </c>
      <c r="D2065">
        <v>1</v>
      </c>
      <c r="E2065" t="s">
        <v>850</v>
      </c>
    </row>
    <row r="2066" spans="1:5" x14ac:dyDescent="0.3">
      <c r="A2066">
        <v>600</v>
      </c>
      <c r="B2066" t="s">
        <v>9</v>
      </c>
      <c r="C2066" t="s">
        <v>37</v>
      </c>
      <c r="D2066">
        <v>4</v>
      </c>
      <c r="E2066" t="s">
        <v>851</v>
      </c>
    </row>
    <row r="2067" spans="1:5" x14ac:dyDescent="0.3">
      <c r="A2067">
        <v>601</v>
      </c>
      <c r="B2067" t="s">
        <v>19</v>
      </c>
      <c r="C2067" t="s">
        <v>65</v>
      </c>
      <c r="D2067">
        <v>7</v>
      </c>
      <c r="E2067" t="s">
        <v>853</v>
      </c>
    </row>
    <row r="2068" spans="1:5" x14ac:dyDescent="0.3">
      <c r="A2068">
        <v>601</v>
      </c>
      <c r="B2068" t="s">
        <v>34</v>
      </c>
      <c r="C2068" t="s">
        <v>68</v>
      </c>
      <c r="D2068">
        <v>0</v>
      </c>
      <c r="E2068" t="s">
        <v>524</v>
      </c>
    </row>
    <row r="2069" spans="1:5" x14ac:dyDescent="0.3">
      <c r="A2069">
        <v>601</v>
      </c>
      <c r="B2069" t="s">
        <v>33</v>
      </c>
      <c r="C2069" t="s">
        <v>68</v>
      </c>
      <c r="D2069">
        <v>0</v>
      </c>
      <c r="E2069" t="s">
        <v>94</v>
      </c>
    </row>
    <row r="2070" spans="1:5" x14ac:dyDescent="0.3">
      <c r="A2070">
        <v>601</v>
      </c>
      <c r="B2070" t="s">
        <v>80</v>
      </c>
      <c r="C2070" t="s">
        <v>68</v>
      </c>
      <c r="D2070">
        <v>0</v>
      </c>
      <c r="E2070" t="s">
        <v>572</v>
      </c>
    </row>
    <row r="2071" spans="1:5" x14ac:dyDescent="0.3">
      <c r="A2071">
        <v>601</v>
      </c>
      <c r="B2071" t="s">
        <v>29</v>
      </c>
      <c r="C2071" t="s">
        <v>68</v>
      </c>
      <c r="D2071">
        <v>22</v>
      </c>
      <c r="E2071" t="s">
        <v>375</v>
      </c>
    </row>
    <row r="2072" spans="1:5" x14ac:dyDescent="0.3">
      <c r="A2072">
        <v>601</v>
      </c>
      <c r="B2072" t="s">
        <v>20</v>
      </c>
      <c r="C2072" t="s">
        <v>65</v>
      </c>
      <c r="D2072">
        <v>1</v>
      </c>
      <c r="E2072" t="s">
        <v>236</v>
      </c>
    </row>
    <row r="2073" spans="1:5" x14ac:dyDescent="0.3">
      <c r="A2073">
        <v>601</v>
      </c>
      <c r="B2073" t="s">
        <v>3</v>
      </c>
      <c r="C2073" t="s">
        <v>37</v>
      </c>
      <c r="D2073">
        <v>0</v>
      </c>
      <c r="E2073" t="s">
        <v>388</v>
      </c>
    </row>
    <row r="2074" spans="1:5" x14ac:dyDescent="0.3">
      <c r="A2074">
        <v>601</v>
      </c>
      <c r="B2074" t="s">
        <v>11</v>
      </c>
      <c r="C2074" t="s">
        <v>37</v>
      </c>
      <c r="D2074">
        <v>1</v>
      </c>
      <c r="E2074" t="s">
        <v>387</v>
      </c>
    </row>
    <row r="2075" spans="1:5" x14ac:dyDescent="0.3">
      <c r="A2075">
        <v>601</v>
      </c>
      <c r="B2075" t="s">
        <v>10</v>
      </c>
      <c r="C2075" t="s">
        <v>37</v>
      </c>
      <c r="D2075">
        <v>12</v>
      </c>
      <c r="E2075" t="s">
        <v>852</v>
      </c>
    </row>
    <row r="2076" spans="1:5" x14ac:dyDescent="0.3">
      <c r="A2076">
        <v>601</v>
      </c>
      <c r="B2076" t="s">
        <v>9</v>
      </c>
      <c r="C2076" t="s">
        <v>37</v>
      </c>
      <c r="D2076">
        <v>55</v>
      </c>
      <c r="E2076" t="s">
        <v>387</v>
      </c>
    </row>
    <row r="2077" spans="1:5" x14ac:dyDescent="0.3">
      <c r="A2077">
        <v>601</v>
      </c>
      <c r="B2077" t="s">
        <v>25</v>
      </c>
      <c r="C2077" t="s">
        <v>84</v>
      </c>
      <c r="D2077">
        <v>1</v>
      </c>
      <c r="E2077" t="s">
        <v>854</v>
      </c>
    </row>
    <row r="2078" spans="1:5" x14ac:dyDescent="0.3">
      <c r="A2078">
        <v>602</v>
      </c>
      <c r="B2078" t="s">
        <v>23</v>
      </c>
      <c r="C2078" t="s">
        <v>65</v>
      </c>
      <c r="D2078">
        <v>1</v>
      </c>
      <c r="E2078" t="s">
        <v>855</v>
      </c>
    </row>
    <row r="2079" spans="1:5" x14ac:dyDescent="0.3">
      <c r="A2079">
        <v>602</v>
      </c>
      <c r="B2079" t="s">
        <v>5</v>
      </c>
      <c r="C2079" t="s">
        <v>36</v>
      </c>
      <c r="D2079">
        <v>0</v>
      </c>
      <c r="E2079" t="s">
        <v>662</v>
      </c>
    </row>
    <row r="2080" spans="1:5" x14ac:dyDescent="0.3">
      <c r="A2080">
        <v>602</v>
      </c>
      <c r="B2080" t="s">
        <v>35</v>
      </c>
      <c r="C2080" t="s">
        <v>68</v>
      </c>
      <c r="D2080">
        <v>0</v>
      </c>
      <c r="E2080" t="s">
        <v>524</v>
      </c>
    </row>
    <row r="2081" spans="1:5" x14ac:dyDescent="0.3">
      <c r="A2081">
        <v>602</v>
      </c>
      <c r="B2081" t="s">
        <v>34</v>
      </c>
      <c r="C2081" t="s">
        <v>68</v>
      </c>
      <c r="D2081">
        <v>1416</v>
      </c>
      <c r="E2081" t="s">
        <v>524</v>
      </c>
    </row>
    <row r="2082" spans="1:5" x14ac:dyDescent="0.3">
      <c r="A2082">
        <v>602</v>
      </c>
      <c r="B2082" t="s">
        <v>80</v>
      </c>
      <c r="C2082" t="s">
        <v>68</v>
      </c>
      <c r="D2082">
        <v>2</v>
      </c>
      <c r="E2082" t="s">
        <v>856</v>
      </c>
    </row>
    <row r="2083" spans="1:5" x14ac:dyDescent="0.3">
      <c r="A2083">
        <v>602</v>
      </c>
      <c r="B2083" t="s">
        <v>21</v>
      </c>
      <c r="C2083" t="s">
        <v>65</v>
      </c>
      <c r="D2083">
        <v>17</v>
      </c>
      <c r="E2083" t="s">
        <v>696</v>
      </c>
    </row>
    <row r="2084" spans="1:5" x14ac:dyDescent="0.3">
      <c r="A2084">
        <v>602</v>
      </c>
      <c r="B2084" t="s">
        <v>20</v>
      </c>
      <c r="C2084" t="s">
        <v>65</v>
      </c>
      <c r="D2084">
        <v>0</v>
      </c>
      <c r="E2084" t="s">
        <v>855</v>
      </c>
    </row>
    <row r="2085" spans="1:5" x14ac:dyDescent="0.3">
      <c r="A2085">
        <v>602</v>
      </c>
      <c r="B2085" t="s">
        <v>19</v>
      </c>
      <c r="C2085" t="s">
        <v>65</v>
      </c>
      <c r="D2085">
        <v>18</v>
      </c>
      <c r="E2085" t="s">
        <v>696</v>
      </c>
    </row>
    <row r="2086" spans="1:5" x14ac:dyDescent="0.3">
      <c r="A2086">
        <v>602</v>
      </c>
      <c r="B2086" t="s">
        <v>16</v>
      </c>
      <c r="C2086" t="s">
        <v>37</v>
      </c>
      <c r="D2086">
        <v>0</v>
      </c>
      <c r="E2086" t="s">
        <v>857</v>
      </c>
    </row>
    <row r="2087" spans="1:5" x14ac:dyDescent="0.3">
      <c r="A2087">
        <v>602</v>
      </c>
      <c r="B2087" t="s">
        <v>3</v>
      </c>
      <c r="C2087" t="s">
        <v>37</v>
      </c>
      <c r="D2087">
        <v>4</v>
      </c>
      <c r="E2087" t="s">
        <v>858</v>
      </c>
    </row>
    <row r="2088" spans="1:5" x14ac:dyDescent="0.3">
      <c r="A2088">
        <v>602</v>
      </c>
      <c r="B2088" t="s">
        <v>9</v>
      </c>
      <c r="C2088" t="s">
        <v>37</v>
      </c>
      <c r="D2088">
        <v>25</v>
      </c>
      <c r="E2088" t="s">
        <v>655</v>
      </c>
    </row>
    <row r="2089" spans="1:5" x14ac:dyDescent="0.3">
      <c r="A2089">
        <v>602</v>
      </c>
      <c r="B2089" t="s">
        <v>11</v>
      </c>
      <c r="C2089" t="s">
        <v>37</v>
      </c>
      <c r="D2089">
        <v>4</v>
      </c>
      <c r="E2089" t="s">
        <v>858</v>
      </c>
    </row>
    <row r="2090" spans="1:5" x14ac:dyDescent="0.3">
      <c r="A2090">
        <v>603</v>
      </c>
      <c r="B2090" t="s">
        <v>20</v>
      </c>
      <c r="C2090" t="s">
        <v>65</v>
      </c>
      <c r="D2090">
        <v>16</v>
      </c>
      <c r="E2090" t="s">
        <v>753</v>
      </c>
    </row>
    <row r="2091" spans="1:5" x14ac:dyDescent="0.3">
      <c r="A2091">
        <v>603</v>
      </c>
      <c r="B2091" t="s">
        <v>5</v>
      </c>
      <c r="C2091" t="s">
        <v>36</v>
      </c>
      <c r="D2091">
        <v>1</v>
      </c>
      <c r="E2091" t="s">
        <v>861</v>
      </c>
    </row>
    <row r="2092" spans="1:5" x14ac:dyDescent="0.3">
      <c r="A2092">
        <v>603</v>
      </c>
      <c r="B2092" t="s">
        <v>35</v>
      </c>
      <c r="C2092" t="s">
        <v>68</v>
      </c>
      <c r="D2092">
        <v>0</v>
      </c>
      <c r="E2092" t="s">
        <v>94</v>
      </c>
    </row>
    <row r="2093" spans="1:5" x14ac:dyDescent="0.3">
      <c r="A2093">
        <v>603</v>
      </c>
      <c r="B2093" t="s">
        <v>34</v>
      </c>
      <c r="C2093" t="s">
        <v>68</v>
      </c>
      <c r="D2093">
        <v>0</v>
      </c>
      <c r="E2093" t="s">
        <v>94</v>
      </c>
    </row>
    <row r="2094" spans="1:5" x14ac:dyDescent="0.3">
      <c r="A2094">
        <v>603</v>
      </c>
      <c r="B2094" t="s">
        <v>29</v>
      </c>
      <c r="C2094" t="s">
        <v>68</v>
      </c>
      <c r="D2094">
        <v>0</v>
      </c>
      <c r="E2094" t="s">
        <v>524</v>
      </c>
    </row>
    <row r="2095" spans="1:5" x14ac:dyDescent="0.3">
      <c r="A2095">
        <v>603</v>
      </c>
      <c r="B2095" t="s">
        <v>21</v>
      </c>
      <c r="C2095" t="s">
        <v>65</v>
      </c>
      <c r="D2095">
        <v>43</v>
      </c>
      <c r="E2095" t="s">
        <v>753</v>
      </c>
    </row>
    <row r="2096" spans="1:5" x14ac:dyDescent="0.3">
      <c r="A2096">
        <v>603</v>
      </c>
      <c r="B2096" t="s">
        <v>15</v>
      </c>
      <c r="C2096" t="s">
        <v>37</v>
      </c>
      <c r="D2096">
        <v>0</v>
      </c>
      <c r="E2096" t="s">
        <v>859</v>
      </c>
    </row>
    <row r="2097" spans="1:5" x14ac:dyDescent="0.3">
      <c r="A2097">
        <v>603</v>
      </c>
      <c r="B2097" t="s">
        <v>3</v>
      </c>
      <c r="C2097" t="s">
        <v>37</v>
      </c>
      <c r="D2097">
        <v>12</v>
      </c>
      <c r="E2097" t="s">
        <v>375</v>
      </c>
    </row>
    <row r="2098" spans="1:5" x14ac:dyDescent="0.3">
      <c r="A2098">
        <v>603</v>
      </c>
      <c r="B2098" t="s">
        <v>8</v>
      </c>
      <c r="C2098" t="s">
        <v>36</v>
      </c>
      <c r="D2098">
        <v>0</v>
      </c>
      <c r="E2098" t="s">
        <v>600</v>
      </c>
    </row>
    <row r="2099" spans="1:5" x14ac:dyDescent="0.3">
      <c r="A2099">
        <v>603</v>
      </c>
      <c r="B2099" t="s">
        <v>9</v>
      </c>
      <c r="C2099" t="s">
        <v>37</v>
      </c>
      <c r="D2099">
        <v>42</v>
      </c>
      <c r="E2099" t="s">
        <v>860</v>
      </c>
    </row>
    <row r="2100" spans="1:5" x14ac:dyDescent="0.3">
      <c r="A2100">
        <v>603</v>
      </c>
      <c r="B2100" t="s">
        <v>19</v>
      </c>
      <c r="C2100" t="s">
        <v>65</v>
      </c>
      <c r="D2100">
        <v>42</v>
      </c>
      <c r="E2100" t="s">
        <v>753</v>
      </c>
    </row>
    <row r="2101" spans="1:5" x14ac:dyDescent="0.3">
      <c r="A2101">
        <v>604</v>
      </c>
      <c r="B2101" t="s">
        <v>5</v>
      </c>
      <c r="C2101" t="s">
        <v>36</v>
      </c>
      <c r="D2101">
        <v>0</v>
      </c>
      <c r="E2101" t="s">
        <v>662</v>
      </c>
    </row>
    <row r="2102" spans="1:5" x14ac:dyDescent="0.3">
      <c r="A2102">
        <v>604</v>
      </c>
      <c r="B2102" t="s">
        <v>11</v>
      </c>
      <c r="C2102" t="s">
        <v>37</v>
      </c>
      <c r="D2102">
        <v>2</v>
      </c>
      <c r="E2102" t="s">
        <v>600</v>
      </c>
    </row>
    <row r="2103" spans="1:5" x14ac:dyDescent="0.3">
      <c r="A2103">
        <v>604</v>
      </c>
      <c r="B2103" t="s">
        <v>3</v>
      </c>
      <c r="C2103" t="s">
        <v>37</v>
      </c>
      <c r="D2103">
        <v>2</v>
      </c>
      <c r="E2103" t="s">
        <v>600</v>
      </c>
    </row>
    <row r="2104" spans="1:5" x14ac:dyDescent="0.3">
      <c r="A2104">
        <v>604</v>
      </c>
      <c r="B2104" t="s">
        <v>20</v>
      </c>
      <c r="C2104" t="s">
        <v>65</v>
      </c>
      <c r="D2104">
        <v>86</v>
      </c>
      <c r="E2104" t="s">
        <v>753</v>
      </c>
    </row>
    <row r="2105" spans="1:5" x14ac:dyDescent="0.3">
      <c r="A2105">
        <v>604</v>
      </c>
      <c r="B2105" t="s">
        <v>21</v>
      </c>
      <c r="C2105" t="s">
        <v>65</v>
      </c>
      <c r="D2105">
        <v>95</v>
      </c>
      <c r="E2105" t="s">
        <v>862</v>
      </c>
    </row>
    <row r="2106" spans="1:5" x14ac:dyDescent="0.3">
      <c r="A2106">
        <v>604</v>
      </c>
      <c r="B2106" t="s">
        <v>26</v>
      </c>
      <c r="C2106" t="s">
        <v>84</v>
      </c>
      <c r="D2106">
        <v>22</v>
      </c>
      <c r="E2106" t="s">
        <v>572</v>
      </c>
    </row>
    <row r="2107" spans="1:5" x14ac:dyDescent="0.3">
      <c r="A2107">
        <v>605</v>
      </c>
      <c r="B2107" t="s">
        <v>24</v>
      </c>
      <c r="C2107" t="s">
        <v>84</v>
      </c>
      <c r="D2107">
        <v>0</v>
      </c>
      <c r="E2107" t="s">
        <v>140</v>
      </c>
    </row>
    <row r="2108" spans="1:5" x14ac:dyDescent="0.3">
      <c r="A2108">
        <v>605</v>
      </c>
      <c r="B2108" t="s">
        <v>35</v>
      </c>
      <c r="C2108" t="s">
        <v>68</v>
      </c>
      <c r="D2108">
        <v>1</v>
      </c>
      <c r="E2108" t="s">
        <v>524</v>
      </c>
    </row>
    <row r="2109" spans="1:5" x14ac:dyDescent="0.3">
      <c r="A2109">
        <v>605</v>
      </c>
      <c r="B2109" t="s">
        <v>26</v>
      </c>
      <c r="C2109" t="s">
        <v>84</v>
      </c>
      <c r="D2109">
        <v>4</v>
      </c>
      <c r="E2109" t="s">
        <v>863</v>
      </c>
    </row>
    <row r="2110" spans="1:5" x14ac:dyDescent="0.3">
      <c r="A2110">
        <v>605</v>
      </c>
      <c r="B2110" t="s">
        <v>19</v>
      </c>
      <c r="C2110" t="s">
        <v>65</v>
      </c>
      <c r="D2110">
        <v>67</v>
      </c>
      <c r="E2110" t="s">
        <v>753</v>
      </c>
    </row>
    <row r="2111" spans="1:5" x14ac:dyDescent="0.3">
      <c r="A2111">
        <v>605</v>
      </c>
      <c r="B2111" t="s">
        <v>9</v>
      </c>
      <c r="C2111" t="s">
        <v>37</v>
      </c>
      <c r="D2111">
        <v>5</v>
      </c>
      <c r="E2111" t="s">
        <v>676</v>
      </c>
    </row>
    <row r="2112" spans="1:5" x14ac:dyDescent="0.3">
      <c r="A2112">
        <v>605</v>
      </c>
      <c r="B2112" t="s">
        <v>21</v>
      </c>
      <c r="C2112" t="s">
        <v>65</v>
      </c>
      <c r="D2112">
        <v>64</v>
      </c>
      <c r="E2112" t="s">
        <v>753</v>
      </c>
    </row>
    <row r="2113" spans="1:5" x14ac:dyDescent="0.3">
      <c r="A2113">
        <v>605</v>
      </c>
      <c r="B2113" t="s">
        <v>29</v>
      </c>
      <c r="C2113" t="s">
        <v>68</v>
      </c>
      <c r="D2113">
        <v>0</v>
      </c>
      <c r="E2113" t="s">
        <v>217</v>
      </c>
    </row>
    <row r="2114" spans="1:5" x14ac:dyDescent="0.3">
      <c r="A2114">
        <v>606</v>
      </c>
      <c r="B2114" t="s">
        <v>80</v>
      </c>
      <c r="C2114" t="s">
        <v>68</v>
      </c>
      <c r="D2114">
        <v>1</v>
      </c>
      <c r="E2114" t="s">
        <v>867</v>
      </c>
    </row>
    <row r="2115" spans="1:5" x14ac:dyDescent="0.3">
      <c r="A2115">
        <v>606</v>
      </c>
      <c r="B2115" t="s">
        <v>26</v>
      </c>
      <c r="C2115" t="s">
        <v>84</v>
      </c>
      <c r="D2115">
        <v>0</v>
      </c>
      <c r="E2115" t="s">
        <v>571</v>
      </c>
    </row>
    <row r="2116" spans="1:5" x14ac:dyDescent="0.3">
      <c r="A2116">
        <v>606</v>
      </c>
      <c r="B2116" t="s">
        <v>25</v>
      </c>
      <c r="C2116" t="s">
        <v>84</v>
      </c>
      <c r="D2116">
        <v>1</v>
      </c>
      <c r="E2116" t="s">
        <v>871</v>
      </c>
    </row>
    <row r="2117" spans="1:5" x14ac:dyDescent="0.3">
      <c r="A2117">
        <v>606</v>
      </c>
      <c r="B2117" t="s">
        <v>21</v>
      </c>
      <c r="C2117" t="s">
        <v>65</v>
      </c>
      <c r="D2117">
        <v>22</v>
      </c>
      <c r="E2117" t="s">
        <v>869</v>
      </c>
    </row>
    <row r="2118" spans="1:5" x14ac:dyDescent="0.3">
      <c r="A2118">
        <v>606</v>
      </c>
      <c r="B2118" t="s">
        <v>18</v>
      </c>
      <c r="C2118" t="s">
        <v>37</v>
      </c>
      <c r="D2118">
        <v>7</v>
      </c>
      <c r="E2118" t="s">
        <v>864</v>
      </c>
    </row>
    <row r="2119" spans="1:5" x14ac:dyDescent="0.3">
      <c r="A2119">
        <v>606</v>
      </c>
      <c r="B2119" t="s">
        <v>3</v>
      </c>
      <c r="C2119" t="s">
        <v>37</v>
      </c>
      <c r="D2119">
        <v>2</v>
      </c>
      <c r="E2119" t="s">
        <v>870</v>
      </c>
    </row>
    <row r="2120" spans="1:5" x14ac:dyDescent="0.3">
      <c r="A2120">
        <v>606</v>
      </c>
      <c r="B2120" t="s">
        <v>31</v>
      </c>
      <c r="C2120" t="s">
        <v>68</v>
      </c>
      <c r="D2120">
        <v>15</v>
      </c>
      <c r="E2120" t="s">
        <v>838</v>
      </c>
    </row>
    <row r="2121" spans="1:5" x14ac:dyDescent="0.3">
      <c r="A2121">
        <v>606</v>
      </c>
      <c r="B2121" t="s">
        <v>35</v>
      </c>
      <c r="C2121" t="s">
        <v>68</v>
      </c>
      <c r="D2121">
        <v>1</v>
      </c>
      <c r="E2121" t="s">
        <v>866</v>
      </c>
    </row>
    <row r="2122" spans="1:5" x14ac:dyDescent="0.3">
      <c r="A2122">
        <v>606</v>
      </c>
      <c r="B2122" t="s">
        <v>74</v>
      </c>
      <c r="C2122" t="s">
        <v>65</v>
      </c>
      <c r="D2122">
        <v>22</v>
      </c>
      <c r="E2122" t="s">
        <v>865</v>
      </c>
    </row>
    <row r="2123" spans="1:5" x14ac:dyDescent="0.3">
      <c r="A2123">
        <v>606</v>
      </c>
      <c r="B2123" t="s">
        <v>5</v>
      </c>
      <c r="C2123" t="s">
        <v>36</v>
      </c>
      <c r="D2123">
        <v>0</v>
      </c>
      <c r="E2123" t="s">
        <v>662</v>
      </c>
    </row>
    <row r="2124" spans="1:5" x14ac:dyDescent="0.3">
      <c r="A2124">
        <v>606</v>
      </c>
      <c r="B2124" t="s">
        <v>28</v>
      </c>
      <c r="C2124" t="s">
        <v>68</v>
      </c>
      <c r="D2124">
        <v>0</v>
      </c>
      <c r="E2124" t="s">
        <v>868</v>
      </c>
    </row>
    <row r="2125" spans="1:5" x14ac:dyDescent="0.3">
      <c r="A2125">
        <v>606</v>
      </c>
      <c r="B2125" t="s">
        <v>11</v>
      </c>
      <c r="C2125" t="s">
        <v>37</v>
      </c>
      <c r="D2125">
        <v>2</v>
      </c>
      <c r="E2125" t="s">
        <v>870</v>
      </c>
    </row>
    <row r="2126" spans="1:5" x14ac:dyDescent="0.3">
      <c r="A2126">
        <v>607</v>
      </c>
      <c r="B2126" t="s">
        <v>9</v>
      </c>
      <c r="C2126" t="s">
        <v>37</v>
      </c>
      <c r="D2126">
        <v>2</v>
      </c>
      <c r="E2126" t="s">
        <v>870</v>
      </c>
    </row>
    <row r="2127" spans="1:5" x14ac:dyDescent="0.3">
      <c r="A2127">
        <v>607</v>
      </c>
      <c r="B2127" t="s">
        <v>4</v>
      </c>
      <c r="C2127" t="s">
        <v>36</v>
      </c>
      <c r="D2127">
        <v>0</v>
      </c>
      <c r="E2127" t="s">
        <v>339</v>
      </c>
    </row>
    <row r="2128" spans="1:5" x14ac:dyDescent="0.3">
      <c r="A2128">
        <v>607</v>
      </c>
      <c r="B2128" t="s">
        <v>5</v>
      </c>
      <c r="C2128" t="s">
        <v>36</v>
      </c>
      <c r="D2128">
        <v>2</v>
      </c>
      <c r="E2128" t="s">
        <v>872</v>
      </c>
    </row>
    <row r="2129" spans="1:5" x14ac:dyDescent="0.3">
      <c r="A2129">
        <v>607</v>
      </c>
      <c r="B2129" t="s">
        <v>10</v>
      </c>
      <c r="C2129" t="s">
        <v>37</v>
      </c>
      <c r="D2129">
        <v>45</v>
      </c>
      <c r="E2129" t="s">
        <v>691</v>
      </c>
    </row>
    <row r="2130" spans="1:5" x14ac:dyDescent="0.3">
      <c r="A2130">
        <v>608</v>
      </c>
      <c r="B2130" t="s">
        <v>75</v>
      </c>
      <c r="C2130" t="s">
        <v>65</v>
      </c>
      <c r="D2130">
        <v>0</v>
      </c>
      <c r="E2130" t="s">
        <v>360</v>
      </c>
    </row>
    <row r="2131" spans="1:5" x14ac:dyDescent="0.3">
      <c r="A2131">
        <v>608</v>
      </c>
      <c r="B2131" t="s">
        <v>35</v>
      </c>
      <c r="C2131" t="s">
        <v>68</v>
      </c>
      <c r="D2131">
        <v>0</v>
      </c>
      <c r="E2131" t="s">
        <v>371</v>
      </c>
    </row>
    <row r="2132" spans="1:5" x14ac:dyDescent="0.3">
      <c r="A2132">
        <v>608</v>
      </c>
      <c r="B2132" t="s">
        <v>25</v>
      </c>
      <c r="C2132" t="s">
        <v>84</v>
      </c>
      <c r="D2132">
        <v>0</v>
      </c>
      <c r="E2132" t="s">
        <v>572</v>
      </c>
    </row>
    <row r="2133" spans="1:5" x14ac:dyDescent="0.3">
      <c r="A2133">
        <v>608</v>
      </c>
      <c r="B2133" t="s">
        <v>10</v>
      </c>
      <c r="C2133" t="s">
        <v>37</v>
      </c>
      <c r="D2133">
        <v>35</v>
      </c>
      <c r="E2133" t="s">
        <v>873</v>
      </c>
    </row>
    <row r="2134" spans="1:5" x14ac:dyDescent="0.3">
      <c r="A2134">
        <v>608</v>
      </c>
      <c r="B2134" t="s">
        <v>9</v>
      </c>
      <c r="C2134" t="s">
        <v>37</v>
      </c>
      <c r="D2134">
        <v>24</v>
      </c>
      <c r="E2134" t="s">
        <v>676</v>
      </c>
    </row>
    <row r="2135" spans="1:5" x14ac:dyDescent="0.3">
      <c r="A2135">
        <v>608</v>
      </c>
      <c r="B2135" t="s">
        <v>5</v>
      </c>
      <c r="C2135" t="s">
        <v>36</v>
      </c>
      <c r="D2135">
        <v>0</v>
      </c>
      <c r="E2135" t="s">
        <v>572</v>
      </c>
    </row>
    <row r="2136" spans="1:5" x14ac:dyDescent="0.3">
      <c r="A2136">
        <v>608</v>
      </c>
      <c r="B2136" t="s">
        <v>28</v>
      </c>
      <c r="C2136" t="s">
        <v>68</v>
      </c>
      <c r="D2136">
        <v>0</v>
      </c>
      <c r="E2136" t="s">
        <v>524</v>
      </c>
    </row>
    <row r="2137" spans="1:5" x14ac:dyDescent="0.3">
      <c r="A2137">
        <v>609</v>
      </c>
      <c r="B2137" t="s">
        <v>5</v>
      </c>
      <c r="C2137" t="s">
        <v>36</v>
      </c>
      <c r="D2137">
        <v>0</v>
      </c>
      <c r="E2137" t="s">
        <v>662</v>
      </c>
    </row>
    <row r="2138" spans="1:5" x14ac:dyDescent="0.3">
      <c r="A2138">
        <v>609</v>
      </c>
      <c r="B2138" t="s">
        <v>28</v>
      </c>
      <c r="C2138" t="s">
        <v>68</v>
      </c>
      <c r="D2138">
        <v>0</v>
      </c>
      <c r="E2138" t="s">
        <v>164</v>
      </c>
    </row>
    <row r="2139" spans="1:5" x14ac:dyDescent="0.3">
      <c r="A2139">
        <v>609</v>
      </c>
      <c r="B2139" t="s">
        <v>76</v>
      </c>
      <c r="C2139" t="s">
        <v>68</v>
      </c>
      <c r="D2139">
        <v>0</v>
      </c>
      <c r="E2139" t="s">
        <v>164</v>
      </c>
    </row>
    <row r="2140" spans="1:5" x14ac:dyDescent="0.3">
      <c r="A2140">
        <v>609</v>
      </c>
      <c r="B2140" t="s">
        <v>80</v>
      </c>
      <c r="C2140" t="s">
        <v>68</v>
      </c>
      <c r="D2140">
        <v>2</v>
      </c>
      <c r="E2140" t="s">
        <v>839</v>
      </c>
    </row>
    <row r="2141" spans="1:5" x14ac:dyDescent="0.3">
      <c r="A2141">
        <v>609</v>
      </c>
      <c r="B2141" t="s">
        <v>31</v>
      </c>
      <c r="C2141" t="s">
        <v>68</v>
      </c>
      <c r="D2141">
        <v>12</v>
      </c>
      <c r="E2141" t="s">
        <v>876</v>
      </c>
    </row>
    <row r="2142" spans="1:5" x14ac:dyDescent="0.3">
      <c r="A2142">
        <v>609</v>
      </c>
      <c r="B2142" t="s">
        <v>30</v>
      </c>
      <c r="C2142" t="s">
        <v>68</v>
      </c>
      <c r="D2142">
        <v>8</v>
      </c>
      <c r="E2142" t="s">
        <v>875</v>
      </c>
    </row>
    <row r="2143" spans="1:5" x14ac:dyDescent="0.3">
      <c r="A2143">
        <v>609</v>
      </c>
      <c r="B2143" t="s">
        <v>20</v>
      </c>
      <c r="C2143" t="s">
        <v>65</v>
      </c>
      <c r="D2143">
        <v>159</v>
      </c>
      <c r="E2143" t="s">
        <v>874</v>
      </c>
    </row>
    <row r="2144" spans="1:5" x14ac:dyDescent="0.3">
      <c r="A2144">
        <v>609</v>
      </c>
      <c r="B2144" t="s">
        <v>3</v>
      </c>
      <c r="C2144" t="s">
        <v>37</v>
      </c>
      <c r="D2144">
        <v>70</v>
      </c>
      <c r="E2144" t="s">
        <v>696</v>
      </c>
    </row>
    <row r="2145" spans="1:5" x14ac:dyDescent="0.3">
      <c r="A2145">
        <v>609</v>
      </c>
      <c r="B2145" t="s">
        <v>9</v>
      </c>
      <c r="C2145" t="s">
        <v>37</v>
      </c>
      <c r="D2145">
        <v>1</v>
      </c>
      <c r="E2145" t="s">
        <v>569</v>
      </c>
    </row>
    <row r="2146" spans="1:5" x14ac:dyDescent="0.3">
      <c r="A2146">
        <v>610</v>
      </c>
      <c r="B2146" t="s">
        <v>11</v>
      </c>
      <c r="C2146" t="s">
        <v>37</v>
      </c>
      <c r="D2146">
        <v>18</v>
      </c>
      <c r="E2146" t="s">
        <v>572</v>
      </c>
    </row>
    <row r="2147" spans="1:5" x14ac:dyDescent="0.3">
      <c r="A2147">
        <v>610</v>
      </c>
      <c r="B2147" t="s">
        <v>5</v>
      </c>
      <c r="C2147" t="s">
        <v>36</v>
      </c>
      <c r="D2147">
        <v>2</v>
      </c>
      <c r="E2147" t="s">
        <v>877</v>
      </c>
    </row>
    <row r="2148" spans="1:5" x14ac:dyDescent="0.3">
      <c r="A2148">
        <v>610</v>
      </c>
      <c r="B2148" t="s">
        <v>3</v>
      </c>
      <c r="C2148" t="s">
        <v>37</v>
      </c>
      <c r="D2148">
        <v>18</v>
      </c>
      <c r="E2148" t="s">
        <v>572</v>
      </c>
    </row>
    <row r="2149" spans="1:5" x14ac:dyDescent="0.3">
      <c r="A2149">
        <v>611</v>
      </c>
      <c r="B2149" t="s">
        <v>11</v>
      </c>
      <c r="C2149" t="s">
        <v>37</v>
      </c>
      <c r="D2149">
        <v>44</v>
      </c>
      <c r="E2149" t="s">
        <v>753</v>
      </c>
    </row>
    <row r="2150" spans="1:5" x14ac:dyDescent="0.3">
      <c r="A2150">
        <v>611</v>
      </c>
      <c r="B2150" t="s">
        <v>76</v>
      </c>
      <c r="C2150" t="s">
        <v>68</v>
      </c>
      <c r="D2150">
        <v>0</v>
      </c>
      <c r="E2150" t="s">
        <v>513</v>
      </c>
    </row>
    <row r="2151" spans="1:5" x14ac:dyDescent="0.3">
      <c r="A2151">
        <v>611</v>
      </c>
      <c r="B2151" t="s">
        <v>80</v>
      </c>
      <c r="C2151" t="s">
        <v>68</v>
      </c>
      <c r="D2151">
        <v>4</v>
      </c>
      <c r="E2151" t="s">
        <v>882</v>
      </c>
    </row>
    <row r="2152" spans="1:5" x14ac:dyDescent="0.3">
      <c r="A2152">
        <v>611</v>
      </c>
      <c r="B2152" t="s">
        <v>31</v>
      </c>
      <c r="C2152" t="s">
        <v>68</v>
      </c>
      <c r="D2152">
        <v>15</v>
      </c>
      <c r="E2152" t="s">
        <v>881</v>
      </c>
    </row>
    <row r="2153" spans="1:5" x14ac:dyDescent="0.3">
      <c r="A2153">
        <v>611</v>
      </c>
      <c r="B2153" t="s">
        <v>75</v>
      </c>
      <c r="C2153" t="s">
        <v>65</v>
      </c>
      <c r="D2153">
        <v>0</v>
      </c>
      <c r="E2153" t="s">
        <v>94</v>
      </c>
    </row>
    <row r="2154" spans="1:5" x14ac:dyDescent="0.3">
      <c r="A2154">
        <v>611</v>
      </c>
      <c r="B2154" t="s">
        <v>3</v>
      </c>
      <c r="C2154" t="s">
        <v>37</v>
      </c>
      <c r="D2154">
        <v>44</v>
      </c>
      <c r="E2154" t="s">
        <v>753</v>
      </c>
    </row>
    <row r="2155" spans="1:5" x14ac:dyDescent="0.3">
      <c r="A2155">
        <v>611</v>
      </c>
      <c r="B2155" t="s">
        <v>8</v>
      </c>
      <c r="C2155" t="s">
        <v>36</v>
      </c>
      <c r="D2155">
        <v>1</v>
      </c>
      <c r="E2155" t="s">
        <v>879</v>
      </c>
    </row>
    <row r="2156" spans="1:5" x14ac:dyDescent="0.3">
      <c r="A2156">
        <v>611</v>
      </c>
      <c r="B2156" t="s">
        <v>5</v>
      </c>
      <c r="C2156" t="s">
        <v>36</v>
      </c>
      <c r="D2156">
        <v>1</v>
      </c>
      <c r="E2156" t="s">
        <v>878</v>
      </c>
    </row>
    <row r="2157" spans="1:5" x14ac:dyDescent="0.3">
      <c r="A2157">
        <v>611</v>
      </c>
      <c r="B2157" t="s">
        <v>20</v>
      </c>
      <c r="C2157" t="s">
        <v>65</v>
      </c>
      <c r="D2157">
        <v>58</v>
      </c>
      <c r="E2157" t="s">
        <v>880</v>
      </c>
    </row>
    <row r="2158" spans="1:5" x14ac:dyDescent="0.3">
      <c r="A2158">
        <v>611</v>
      </c>
      <c r="B2158" t="s">
        <v>18</v>
      </c>
      <c r="C2158" t="s">
        <v>37</v>
      </c>
      <c r="D2158">
        <v>11</v>
      </c>
      <c r="E2158" t="s">
        <v>880</v>
      </c>
    </row>
    <row r="2159" spans="1:5" x14ac:dyDescent="0.3">
      <c r="A2159">
        <v>612</v>
      </c>
      <c r="B2159" t="s">
        <v>9</v>
      </c>
      <c r="C2159" t="s">
        <v>37</v>
      </c>
      <c r="D2159">
        <v>1414</v>
      </c>
      <c r="E2159" t="s">
        <v>883</v>
      </c>
    </row>
    <row r="2160" spans="1:5" x14ac:dyDescent="0.3">
      <c r="A2160">
        <v>612</v>
      </c>
      <c r="B2160" t="s">
        <v>11</v>
      </c>
      <c r="C2160" t="s">
        <v>37</v>
      </c>
      <c r="D2160">
        <v>12</v>
      </c>
      <c r="E2160" t="s">
        <v>817</v>
      </c>
    </row>
    <row r="2161" spans="1:5" x14ac:dyDescent="0.3">
      <c r="A2161">
        <v>612</v>
      </c>
      <c r="B2161" t="s">
        <v>21</v>
      </c>
      <c r="C2161" t="s">
        <v>65</v>
      </c>
      <c r="D2161">
        <v>0</v>
      </c>
      <c r="E2161" t="s">
        <v>217</v>
      </c>
    </row>
    <row r="2162" spans="1:5" x14ac:dyDescent="0.3">
      <c r="A2162">
        <v>614</v>
      </c>
      <c r="B2162" t="s">
        <v>35</v>
      </c>
      <c r="C2162" t="s">
        <v>68</v>
      </c>
      <c r="D2162">
        <v>1</v>
      </c>
      <c r="E2162" t="s">
        <v>375</v>
      </c>
    </row>
    <row r="2163" spans="1:5" x14ac:dyDescent="0.3">
      <c r="A2163">
        <v>614</v>
      </c>
      <c r="B2163" t="s">
        <v>10</v>
      </c>
      <c r="C2163" t="s">
        <v>37</v>
      </c>
      <c r="D2163">
        <v>84</v>
      </c>
      <c r="E2163" t="s">
        <v>884</v>
      </c>
    </row>
    <row r="2164" spans="1:5" x14ac:dyDescent="0.3">
      <c r="A2164">
        <v>614</v>
      </c>
      <c r="B2164" t="s">
        <v>11</v>
      </c>
      <c r="C2164" t="s">
        <v>37</v>
      </c>
      <c r="D2164">
        <v>68</v>
      </c>
      <c r="E2164" t="s">
        <v>884</v>
      </c>
    </row>
    <row r="2165" spans="1:5" x14ac:dyDescent="0.3">
      <c r="A2165">
        <v>614</v>
      </c>
      <c r="B2165" t="s">
        <v>23</v>
      </c>
      <c r="C2165" t="s">
        <v>65</v>
      </c>
      <c r="D2165">
        <v>2</v>
      </c>
      <c r="E2165" t="s">
        <v>572</v>
      </c>
    </row>
    <row r="2166" spans="1:5" x14ac:dyDescent="0.3">
      <c r="A2166">
        <v>615</v>
      </c>
      <c r="B2166" t="s">
        <v>35</v>
      </c>
      <c r="C2166" t="s">
        <v>68</v>
      </c>
      <c r="D2166">
        <v>1</v>
      </c>
      <c r="E2166" t="s">
        <v>473</v>
      </c>
    </row>
    <row r="2167" spans="1:5" x14ac:dyDescent="0.3">
      <c r="A2167">
        <v>615</v>
      </c>
      <c r="B2167" t="s">
        <v>33</v>
      </c>
      <c r="C2167" t="s">
        <v>68</v>
      </c>
      <c r="D2167">
        <v>10</v>
      </c>
      <c r="E2167" t="s">
        <v>572</v>
      </c>
    </row>
    <row r="2168" spans="1:5" x14ac:dyDescent="0.3">
      <c r="A2168">
        <v>615</v>
      </c>
      <c r="B2168" t="s">
        <v>80</v>
      </c>
      <c r="C2168" t="s">
        <v>68</v>
      </c>
      <c r="D2168">
        <v>1</v>
      </c>
      <c r="E2168" t="s">
        <v>886</v>
      </c>
    </row>
    <row r="2169" spans="1:5" x14ac:dyDescent="0.3">
      <c r="A2169">
        <v>615</v>
      </c>
      <c r="B2169" t="s">
        <v>11</v>
      </c>
      <c r="C2169" t="s">
        <v>37</v>
      </c>
      <c r="D2169">
        <v>51</v>
      </c>
      <c r="E2169" t="s">
        <v>885</v>
      </c>
    </row>
    <row r="2170" spans="1:5" x14ac:dyDescent="0.3">
      <c r="A2170">
        <v>615</v>
      </c>
      <c r="B2170" t="s">
        <v>9</v>
      </c>
      <c r="C2170" t="s">
        <v>37</v>
      </c>
      <c r="D2170">
        <v>6</v>
      </c>
      <c r="E2170" t="s">
        <v>887</v>
      </c>
    </row>
    <row r="2171" spans="1:5" x14ac:dyDescent="0.3">
      <c r="A2171">
        <v>615</v>
      </c>
      <c r="B2171" t="s">
        <v>10</v>
      </c>
      <c r="C2171" t="s">
        <v>37</v>
      </c>
      <c r="D2171">
        <v>2</v>
      </c>
      <c r="E2171" t="s">
        <v>655</v>
      </c>
    </row>
    <row r="2172" spans="1:5" x14ac:dyDescent="0.3">
      <c r="A2172">
        <v>616</v>
      </c>
      <c r="B2172" t="s">
        <v>14</v>
      </c>
      <c r="C2172" t="s">
        <v>37</v>
      </c>
      <c r="D2172">
        <v>0</v>
      </c>
      <c r="E2172" t="s">
        <v>94</v>
      </c>
    </row>
    <row r="2173" spans="1:5" x14ac:dyDescent="0.3">
      <c r="A2173">
        <v>616</v>
      </c>
      <c r="B2173" t="s">
        <v>35</v>
      </c>
      <c r="C2173" t="s">
        <v>68</v>
      </c>
      <c r="D2173">
        <v>0</v>
      </c>
      <c r="E2173" t="s">
        <v>94</v>
      </c>
    </row>
    <row r="2174" spans="1:5" x14ac:dyDescent="0.3">
      <c r="A2174">
        <v>616</v>
      </c>
      <c r="B2174" t="s">
        <v>23</v>
      </c>
      <c r="C2174" t="s">
        <v>65</v>
      </c>
      <c r="D2174">
        <v>39</v>
      </c>
      <c r="E2174" t="s">
        <v>375</v>
      </c>
    </row>
    <row r="2175" spans="1:5" x14ac:dyDescent="0.3">
      <c r="A2175">
        <v>616</v>
      </c>
      <c r="B2175" t="s">
        <v>80</v>
      </c>
      <c r="C2175" t="s">
        <v>68</v>
      </c>
      <c r="D2175">
        <v>1</v>
      </c>
      <c r="E2175" t="s">
        <v>572</v>
      </c>
    </row>
    <row r="2176" spans="1:5" x14ac:dyDescent="0.3">
      <c r="A2176">
        <v>616</v>
      </c>
      <c r="B2176" t="s">
        <v>76</v>
      </c>
      <c r="C2176" t="s">
        <v>68</v>
      </c>
      <c r="D2176">
        <v>744</v>
      </c>
      <c r="E2176" t="s">
        <v>889</v>
      </c>
    </row>
    <row r="2177" spans="1:5" x14ac:dyDescent="0.3">
      <c r="A2177">
        <v>616</v>
      </c>
      <c r="B2177" t="s">
        <v>17</v>
      </c>
      <c r="C2177" t="s">
        <v>37</v>
      </c>
      <c r="D2177">
        <v>11</v>
      </c>
      <c r="E2177" t="s">
        <v>888</v>
      </c>
    </row>
    <row r="2178" spans="1:5" x14ac:dyDescent="0.3">
      <c r="A2178">
        <v>616</v>
      </c>
      <c r="B2178" t="s">
        <v>5</v>
      </c>
      <c r="C2178" t="s">
        <v>36</v>
      </c>
      <c r="D2178">
        <v>1</v>
      </c>
      <c r="E2178" t="s">
        <v>662</v>
      </c>
    </row>
    <row r="2179" spans="1:5" x14ac:dyDescent="0.3">
      <c r="A2179">
        <v>616</v>
      </c>
      <c r="B2179" t="s">
        <v>9</v>
      </c>
      <c r="C2179" t="s">
        <v>37</v>
      </c>
      <c r="D2179">
        <v>38</v>
      </c>
      <c r="E2179" t="s">
        <v>676</v>
      </c>
    </row>
    <row r="2180" spans="1:5" x14ac:dyDescent="0.3">
      <c r="A2180">
        <v>616</v>
      </c>
      <c r="B2180" t="s">
        <v>33</v>
      </c>
      <c r="C2180" t="s">
        <v>68</v>
      </c>
      <c r="D2180">
        <v>0</v>
      </c>
      <c r="E2180" t="s">
        <v>549</v>
      </c>
    </row>
    <row r="2181" spans="1:5" x14ac:dyDescent="0.3">
      <c r="A2181">
        <v>617</v>
      </c>
      <c r="B2181" t="s">
        <v>31</v>
      </c>
      <c r="C2181" t="s">
        <v>68</v>
      </c>
      <c r="D2181">
        <v>25</v>
      </c>
      <c r="E2181" t="s">
        <v>890</v>
      </c>
    </row>
    <row r="2182" spans="1:5" x14ac:dyDescent="0.3">
      <c r="A2182">
        <v>617</v>
      </c>
      <c r="B2182" t="s">
        <v>9</v>
      </c>
      <c r="C2182" t="s">
        <v>37</v>
      </c>
      <c r="D2182">
        <v>36</v>
      </c>
      <c r="E2182" t="s">
        <v>387</v>
      </c>
    </row>
    <row r="2183" spans="1:5" x14ac:dyDescent="0.3">
      <c r="A2183">
        <v>617</v>
      </c>
      <c r="B2183" t="s">
        <v>80</v>
      </c>
      <c r="C2183" t="s">
        <v>68</v>
      </c>
      <c r="D2183">
        <v>27</v>
      </c>
      <c r="E2183" t="s">
        <v>891</v>
      </c>
    </row>
    <row r="2184" spans="1:5" x14ac:dyDescent="0.3">
      <c r="A2184">
        <v>617</v>
      </c>
      <c r="B2184" t="s">
        <v>5</v>
      </c>
      <c r="C2184" t="s">
        <v>36</v>
      </c>
      <c r="D2184">
        <v>1</v>
      </c>
      <c r="E2184" t="s">
        <v>893</v>
      </c>
    </row>
    <row r="2185" spans="1:5" x14ac:dyDescent="0.3">
      <c r="A2185">
        <v>617</v>
      </c>
      <c r="B2185" t="s">
        <v>26</v>
      </c>
      <c r="C2185" t="s">
        <v>84</v>
      </c>
      <c r="D2185">
        <v>1416</v>
      </c>
      <c r="E2185" t="s">
        <v>892</v>
      </c>
    </row>
    <row r="2186" spans="1:5" x14ac:dyDescent="0.3">
      <c r="A2186">
        <v>617</v>
      </c>
      <c r="B2186" t="s">
        <v>25</v>
      </c>
      <c r="C2186" t="s">
        <v>84</v>
      </c>
      <c r="D2186">
        <v>0</v>
      </c>
      <c r="E2186" t="s">
        <v>375</v>
      </c>
    </row>
    <row r="2187" spans="1:5" x14ac:dyDescent="0.3">
      <c r="A2187">
        <v>617</v>
      </c>
      <c r="B2187" t="s">
        <v>20</v>
      </c>
      <c r="C2187" t="s">
        <v>65</v>
      </c>
      <c r="D2187">
        <v>11</v>
      </c>
      <c r="E2187" t="s">
        <v>572</v>
      </c>
    </row>
    <row r="2188" spans="1:5" x14ac:dyDescent="0.3">
      <c r="A2188">
        <v>617</v>
      </c>
      <c r="B2188" t="s">
        <v>3</v>
      </c>
      <c r="C2188" t="s">
        <v>37</v>
      </c>
      <c r="D2188">
        <v>3</v>
      </c>
      <c r="E2188" t="s">
        <v>767</v>
      </c>
    </row>
    <row r="2189" spans="1:5" x14ac:dyDescent="0.3">
      <c r="A2189">
        <v>617</v>
      </c>
      <c r="B2189" t="s">
        <v>11</v>
      </c>
      <c r="C2189" t="s">
        <v>37</v>
      </c>
      <c r="D2189">
        <v>76</v>
      </c>
      <c r="E2189" t="s">
        <v>753</v>
      </c>
    </row>
    <row r="2190" spans="1:5" x14ac:dyDescent="0.3">
      <c r="A2190">
        <v>617</v>
      </c>
      <c r="B2190" t="s">
        <v>10</v>
      </c>
      <c r="C2190" t="s">
        <v>37</v>
      </c>
      <c r="D2190">
        <v>8</v>
      </c>
      <c r="E2190" t="s">
        <v>513</v>
      </c>
    </row>
    <row r="2191" spans="1:5" x14ac:dyDescent="0.3">
      <c r="A2191">
        <v>617</v>
      </c>
      <c r="B2191" t="s">
        <v>34</v>
      </c>
      <c r="C2191" t="s">
        <v>68</v>
      </c>
      <c r="D2191">
        <v>1</v>
      </c>
      <c r="E2191" t="s">
        <v>890</v>
      </c>
    </row>
    <row r="2192" spans="1:5" x14ac:dyDescent="0.3">
      <c r="A2192">
        <v>618</v>
      </c>
      <c r="B2192" t="s">
        <v>75</v>
      </c>
      <c r="C2192" t="s">
        <v>65</v>
      </c>
      <c r="D2192">
        <v>1</v>
      </c>
      <c r="E2192" t="s">
        <v>375</v>
      </c>
    </row>
    <row r="2193" spans="1:5" x14ac:dyDescent="0.3">
      <c r="A2193">
        <v>618</v>
      </c>
      <c r="B2193" t="s">
        <v>25</v>
      </c>
      <c r="C2193" t="s">
        <v>84</v>
      </c>
      <c r="D2193">
        <v>0</v>
      </c>
      <c r="E2193" t="s">
        <v>572</v>
      </c>
    </row>
    <row r="2194" spans="1:5" x14ac:dyDescent="0.3">
      <c r="A2194">
        <v>618</v>
      </c>
      <c r="B2194" t="s">
        <v>5</v>
      </c>
      <c r="C2194" t="s">
        <v>36</v>
      </c>
      <c r="D2194">
        <v>0</v>
      </c>
      <c r="E2194" t="s">
        <v>572</v>
      </c>
    </row>
    <row r="2195" spans="1:5" x14ac:dyDescent="0.3">
      <c r="A2195">
        <v>618</v>
      </c>
      <c r="B2195" t="s">
        <v>9</v>
      </c>
      <c r="C2195" t="s">
        <v>37</v>
      </c>
      <c r="D2195">
        <v>49</v>
      </c>
      <c r="E2195" t="s">
        <v>676</v>
      </c>
    </row>
    <row r="2196" spans="1:5" x14ac:dyDescent="0.3">
      <c r="A2196">
        <v>618</v>
      </c>
      <c r="B2196" t="s">
        <v>3</v>
      </c>
      <c r="C2196" t="s">
        <v>37</v>
      </c>
      <c r="D2196">
        <v>74</v>
      </c>
      <c r="E2196" t="s">
        <v>697</v>
      </c>
    </row>
    <row r="2197" spans="1:5" x14ac:dyDescent="0.3">
      <c r="A2197">
        <v>618</v>
      </c>
      <c r="B2197" t="s">
        <v>11</v>
      </c>
      <c r="C2197" t="s">
        <v>37</v>
      </c>
      <c r="D2197">
        <v>74</v>
      </c>
      <c r="E2197" t="s">
        <v>697</v>
      </c>
    </row>
    <row r="2198" spans="1:5" x14ac:dyDescent="0.3">
      <c r="A2198">
        <v>619</v>
      </c>
      <c r="B2198" t="s">
        <v>11</v>
      </c>
      <c r="C2198" t="s">
        <v>37</v>
      </c>
      <c r="D2198">
        <v>0</v>
      </c>
      <c r="E2198" t="s">
        <v>94</v>
      </c>
    </row>
    <row r="2199" spans="1:5" x14ac:dyDescent="0.3">
      <c r="A2199">
        <v>619</v>
      </c>
      <c r="B2199" t="s">
        <v>33</v>
      </c>
      <c r="C2199" t="s">
        <v>68</v>
      </c>
      <c r="D2199">
        <v>0</v>
      </c>
      <c r="E2199" t="s">
        <v>894</v>
      </c>
    </row>
    <row r="2200" spans="1:5" x14ac:dyDescent="0.3">
      <c r="A2200">
        <v>619</v>
      </c>
      <c r="B2200" t="s">
        <v>29</v>
      </c>
      <c r="C2200" t="s">
        <v>68</v>
      </c>
      <c r="D2200">
        <v>0</v>
      </c>
      <c r="E2200" t="s">
        <v>571</v>
      </c>
    </row>
    <row r="2201" spans="1:5" x14ac:dyDescent="0.3">
      <c r="A2201">
        <v>619</v>
      </c>
      <c r="B2201" t="s">
        <v>28</v>
      </c>
      <c r="C2201" t="s">
        <v>68</v>
      </c>
      <c r="D2201">
        <v>0</v>
      </c>
      <c r="E2201" t="s">
        <v>896</v>
      </c>
    </row>
    <row r="2202" spans="1:5" x14ac:dyDescent="0.3">
      <c r="A2202">
        <v>619</v>
      </c>
      <c r="B2202" t="s">
        <v>3</v>
      </c>
      <c r="C2202" t="s">
        <v>37</v>
      </c>
      <c r="D2202">
        <v>0</v>
      </c>
      <c r="E2202" t="s">
        <v>94</v>
      </c>
    </row>
    <row r="2203" spans="1:5" x14ac:dyDescent="0.3">
      <c r="A2203">
        <v>619</v>
      </c>
      <c r="B2203" t="s">
        <v>10</v>
      </c>
      <c r="C2203" t="s">
        <v>37</v>
      </c>
      <c r="D2203">
        <v>62</v>
      </c>
      <c r="E2203" t="s">
        <v>676</v>
      </c>
    </row>
    <row r="2204" spans="1:5" x14ac:dyDescent="0.3">
      <c r="A2204">
        <v>619</v>
      </c>
      <c r="B2204" t="s">
        <v>9</v>
      </c>
      <c r="C2204" t="s">
        <v>37</v>
      </c>
      <c r="D2204">
        <v>6</v>
      </c>
      <c r="E2204" t="s">
        <v>895</v>
      </c>
    </row>
    <row r="2205" spans="1:5" x14ac:dyDescent="0.3">
      <c r="A2205">
        <v>619</v>
      </c>
      <c r="B2205" t="s">
        <v>5</v>
      </c>
      <c r="C2205" t="s">
        <v>36</v>
      </c>
      <c r="D2205">
        <v>2</v>
      </c>
      <c r="E2205" t="s">
        <v>637</v>
      </c>
    </row>
    <row r="2206" spans="1:5" x14ac:dyDescent="0.3">
      <c r="A2206">
        <v>619</v>
      </c>
      <c r="B2206" t="s">
        <v>17</v>
      </c>
      <c r="C2206" t="s">
        <v>37</v>
      </c>
      <c r="D2206">
        <v>0</v>
      </c>
      <c r="E2206" t="s">
        <v>94</v>
      </c>
    </row>
    <row r="2207" spans="1:5" x14ac:dyDescent="0.3">
      <c r="A2207">
        <v>620</v>
      </c>
      <c r="B2207" t="s">
        <v>31</v>
      </c>
      <c r="C2207" t="s">
        <v>68</v>
      </c>
      <c r="D2207">
        <v>17</v>
      </c>
      <c r="E2207" t="s">
        <v>572</v>
      </c>
    </row>
    <row r="2208" spans="1:5" x14ac:dyDescent="0.3">
      <c r="A2208">
        <v>620</v>
      </c>
      <c r="B2208" t="s">
        <v>12</v>
      </c>
      <c r="C2208" t="s">
        <v>37</v>
      </c>
      <c r="D2208">
        <v>3</v>
      </c>
      <c r="E2208" t="s">
        <v>898</v>
      </c>
    </row>
    <row r="2209" spans="1:5" x14ac:dyDescent="0.3">
      <c r="A2209">
        <v>620</v>
      </c>
      <c r="B2209" t="s">
        <v>80</v>
      </c>
      <c r="C2209" t="s">
        <v>68</v>
      </c>
      <c r="D2209">
        <v>1</v>
      </c>
      <c r="E2209" t="s">
        <v>767</v>
      </c>
    </row>
    <row r="2210" spans="1:5" x14ac:dyDescent="0.3">
      <c r="A2210">
        <v>620</v>
      </c>
      <c r="B2210" t="s">
        <v>21</v>
      </c>
      <c r="C2210" t="s">
        <v>65</v>
      </c>
      <c r="D2210">
        <v>42</v>
      </c>
      <c r="E2210" t="s">
        <v>753</v>
      </c>
    </row>
    <row r="2211" spans="1:5" x14ac:dyDescent="0.3">
      <c r="A2211">
        <v>620</v>
      </c>
      <c r="B2211" t="s">
        <v>11</v>
      </c>
      <c r="C2211" t="s">
        <v>37</v>
      </c>
      <c r="D2211">
        <v>68</v>
      </c>
      <c r="E2211" t="s">
        <v>900</v>
      </c>
    </row>
    <row r="2212" spans="1:5" x14ac:dyDescent="0.3">
      <c r="A2212">
        <v>620</v>
      </c>
      <c r="B2212" t="s">
        <v>10</v>
      </c>
      <c r="C2212" t="s">
        <v>37</v>
      </c>
      <c r="D2212">
        <v>24</v>
      </c>
      <c r="E2212" t="s">
        <v>901</v>
      </c>
    </row>
    <row r="2213" spans="1:5" x14ac:dyDescent="0.3">
      <c r="A2213">
        <v>620</v>
      </c>
      <c r="B2213" t="s">
        <v>606</v>
      </c>
      <c r="C2213" t="s">
        <v>84</v>
      </c>
      <c r="D2213">
        <v>2</v>
      </c>
      <c r="E2213" t="s">
        <v>897</v>
      </c>
    </row>
    <row r="2214" spans="1:5" x14ac:dyDescent="0.3">
      <c r="A2214">
        <v>620</v>
      </c>
      <c r="B2214" t="s">
        <v>9</v>
      </c>
      <c r="C2214" t="s">
        <v>37</v>
      </c>
      <c r="D2214">
        <v>53</v>
      </c>
      <c r="E2214" t="s">
        <v>753</v>
      </c>
    </row>
    <row r="2215" spans="1:5" x14ac:dyDescent="0.3">
      <c r="A2215">
        <v>620</v>
      </c>
      <c r="B2215" t="s">
        <v>5</v>
      </c>
      <c r="C2215" t="s">
        <v>36</v>
      </c>
      <c r="D2215">
        <v>0</v>
      </c>
      <c r="E2215" t="s">
        <v>662</v>
      </c>
    </row>
    <row r="2216" spans="1:5" x14ac:dyDescent="0.3">
      <c r="A2216">
        <v>620</v>
      </c>
      <c r="B2216" t="s">
        <v>3</v>
      </c>
      <c r="C2216" t="s">
        <v>37</v>
      </c>
      <c r="D2216">
        <v>68</v>
      </c>
      <c r="E2216" t="s">
        <v>899</v>
      </c>
    </row>
    <row r="2217" spans="1:5" x14ac:dyDescent="0.3">
      <c r="A2217">
        <v>621</v>
      </c>
      <c r="B2217" t="s">
        <v>11</v>
      </c>
      <c r="C2217" t="s">
        <v>37</v>
      </c>
      <c r="D2217">
        <v>4</v>
      </c>
      <c r="E2217" t="s">
        <v>902</v>
      </c>
    </row>
    <row r="2218" spans="1:5" x14ac:dyDescent="0.3">
      <c r="A2218">
        <v>621</v>
      </c>
      <c r="B2218" t="s">
        <v>29</v>
      </c>
      <c r="C2218" t="s">
        <v>68</v>
      </c>
      <c r="D2218">
        <v>0</v>
      </c>
      <c r="E2218" t="s">
        <v>94</v>
      </c>
    </row>
    <row r="2219" spans="1:5" x14ac:dyDescent="0.3">
      <c r="A2219">
        <v>621</v>
      </c>
      <c r="B2219" t="s">
        <v>24</v>
      </c>
      <c r="C2219" t="s">
        <v>84</v>
      </c>
      <c r="D2219">
        <v>0</v>
      </c>
      <c r="E2219" t="s">
        <v>478</v>
      </c>
    </row>
    <row r="2220" spans="1:5" x14ac:dyDescent="0.3">
      <c r="A2220">
        <v>621</v>
      </c>
      <c r="B2220" t="s">
        <v>23</v>
      </c>
      <c r="C2220" t="s">
        <v>65</v>
      </c>
      <c r="D2220">
        <v>20</v>
      </c>
      <c r="E2220" t="s">
        <v>691</v>
      </c>
    </row>
    <row r="2221" spans="1:5" x14ac:dyDescent="0.3">
      <c r="A2221">
        <v>621</v>
      </c>
      <c r="B2221" t="s">
        <v>21</v>
      </c>
      <c r="C2221" t="s">
        <v>65</v>
      </c>
      <c r="D2221">
        <v>28</v>
      </c>
      <c r="E2221" t="s">
        <v>691</v>
      </c>
    </row>
    <row r="2222" spans="1:5" x14ac:dyDescent="0.3">
      <c r="A2222">
        <v>621</v>
      </c>
      <c r="B2222" t="s">
        <v>18</v>
      </c>
      <c r="C2222" t="s">
        <v>37</v>
      </c>
      <c r="D2222">
        <v>33</v>
      </c>
      <c r="E2222" t="s">
        <v>903</v>
      </c>
    </row>
    <row r="2223" spans="1:5" x14ac:dyDescent="0.3">
      <c r="A2223">
        <v>621</v>
      </c>
      <c r="B2223" t="s">
        <v>3</v>
      </c>
      <c r="C2223" t="s">
        <v>37</v>
      </c>
      <c r="D2223">
        <v>4</v>
      </c>
      <c r="E2223" t="s">
        <v>902</v>
      </c>
    </row>
    <row r="2224" spans="1:5" x14ac:dyDescent="0.3">
      <c r="A2224">
        <v>621</v>
      </c>
      <c r="B2224" t="s">
        <v>10</v>
      </c>
      <c r="C2224" t="s">
        <v>37</v>
      </c>
      <c r="D2224">
        <v>49</v>
      </c>
      <c r="E2224" t="s">
        <v>696</v>
      </c>
    </row>
    <row r="2225" spans="1:5" x14ac:dyDescent="0.3">
      <c r="A2225">
        <v>621</v>
      </c>
      <c r="B2225" t="s">
        <v>9</v>
      </c>
      <c r="C2225" t="s">
        <v>37</v>
      </c>
      <c r="D2225">
        <v>103</v>
      </c>
      <c r="E2225" t="s">
        <v>676</v>
      </c>
    </row>
    <row r="2226" spans="1:5" x14ac:dyDescent="0.3">
      <c r="A2226">
        <v>621</v>
      </c>
      <c r="B2226" t="s">
        <v>5</v>
      </c>
      <c r="C2226" t="s">
        <v>36</v>
      </c>
      <c r="D2226">
        <v>1</v>
      </c>
      <c r="E2226" t="s">
        <v>637</v>
      </c>
    </row>
    <row r="2227" spans="1:5" x14ac:dyDescent="0.3">
      <c r="A2227">
        <v>621</v>
      </c>
      <c r="B2227" t="s">
        <v>4</v>
      </c>
      <c r="C2227" t="s">
        <v>36</v>
      </c>
      <c r="D2227">
        <v>0</v>
      </c>
      <c r="E2227" t="s">
        <v>217</v>
      </c>
    </row>
    <row r="2228" spans="1:5" x14ac:dyDescent="0.3">
      <c r="A2228">
        <v>621</v>
      </c>
      <c r="B2228" t="s">
        <v>17</v>
      </c>
      <c r="C2228" t="s">
        <v>37</v>
      </c>
      <c r="D2228">
        <v>36</v>
      </c>
      <c r="E2228" t="s">
        <v>697</v>
      </c>
    </row>
    <row r="2229" spans="1:5" x14ac:dyDescent="0.3">
      <c r="A2229">
        <v>622</v>
      </c>
      <c r="B2229" t="s">
        <v>80</v>
      </c>
      <c r="C2229" t="s">
        <v>68</v>
      </c>
      <c r="D2229">
        <v>6</v>
      </c>
      <c r="E2229" t="s">
        <v>655</v>
      </c>
    </row>
    <row r="2230" spans="1:5" x14ac:dyDescent="0.3">
      <c r="A2230">
        <v>622</v>
      </c>
      <c r="B2230" t="s">
        <v>10</v>
      </c>
      <c r="C2230" t="s">
        <v>37</v>
      </c>
      <c r="D2230">
        <v>12</v>
      </c>
      <c r="E2230" t="s">
        <v>655</v>
      </c>
    </row>
    <row r="2231" spans="1:5" x14ac:dyDescent="0.3">
      <c r="A2231">
        <v>622</v>
      </c>
      <c r="B2231" t="s">
        <v>35</v>
      </c>
      <c r="C2231" t="s">
        <v>68</v>
      </c>
      <c r="D2231">
        <v>0</v>
      </c>
      <c r="E2231" t="s">
        <v>572</v>
      </c>
    </row>
    <row r="2232" spans="1:5" x14ac:dyDescent="0.3">
      <c r="A2232">
        <v>622</v>
      </c>
      <c r="B2232" t="s">
        <v>33</v>
      </c>
      <c r="C2232" t="s">
        <v>68</v>
      </c>
      <c r="D2232">
        <v>0</v>
      </c>
      <c r="E2232" t="s">
        <v>94</v>
      </c>
    </row>
    <row r="2233" spans="1:5" x14ac:dyDescent="0.3">
      <c r="A2233">
        <v>622</v>
      </c>
      <c r="B2233" t="s">
        <v>606</v>
      </c>
      <c r="C2233" t="s">
        <v>84</v>
      </c>
      <c r="D2233">
        <v>1</v>
      </c>
      <c r="E2233" t="s">
        <v>904</v>
      </c>
    </row>
    <row r="2234" spans="1:5" x14ac:dyDescent="0.3">
      <c r="A2234">
        <v>622</v>
      </c>
      <c r="B2234" t="s">
        <v>20</v>
      </c>
      <c r="C2234" t="s">
        <v>65</v>
      </c>
      <c r="D2234">
        <v>0</v>
      </c>
      <c r="E2234" t="s">
        <v>94</v>
      </c>
    </row>
    <row r="2235" spans="1:5" x14ac:dyDescent="0.3">
      <c r="A2235">
        <v>622</v>
      </c>
      <c r="B2235" t="s">
        <v>11</v>
      </c>
      <c r="C2235" t="s">
        <v>37</v>
      </c>
      <c r="D2235">
        <v>2</v>
      </c>
      <c r="E2235" t="s">
        <v>906</v>
      </c>
    </row>
    <row r="2236" spans="1:5" x14ac:dyDescent="0.3">
      <c r="A2236">
        <v>622</v>
      </c>
      <c r="B2236" t="s">
        <v>9</v>
      </c>
      <c r="C2236" t="s">
        <v>37</v>
      </c>
      <c r="D2236">
        <v>4</v>
      </c>
      <c r="E2236" t="s">
        <v>655</v>
      </c>
    </row>
    <row r="2237" spans="1:5" x14ac:dyDescent="0.3">
      <c r="A2237">
        <v>622</v>
      </c>
      <c r="B2237" t="s">
        <v>75</v>
      </c>
      <c r="C2237" t="s">
        <v>65</v>
      </c>
      <c r="D2237">
        <v>0</v>
      </c>
      <c r="E2237" t="s">
        <v>217</v>
      </c>
    </row>
    <row r="2238" spans="1:5" x14ac:dyDescent="0.3">
      <c r="A2238">
        <v>622</v>
      </c>
      <c r="B2238" t="s">
        <v>3</v>
      </c>
      <c r="C2238" t="s">
        <v>37</v>
      </c>
      <c r="D2238">
        <v>2</v>
      </c>
      <c r="E2238" t="s">
        <v>905</v>
      </c>
    </row>
    <row r="2239" spans="1:5" x14ac:dyDescent="0.3">
      <c r="A2239">
        <v>623</v>
      </c>
      <c r="B2239" t="s">
        <v>10</v>
      </c>
      <c r="C2239" t="s">
        <v>37</v>
      </c>
      <c r="D2239">
        <v>3</v>
      </c>
      <c r="E2239" t="s">
        <v>907</v>
      </c>
    </row>
    <row r="2240" spans="1:5" x14ac:dyDescent="0.3">
      <c r="A2240">
        <v>623</v>
      </c>
      <c r="B2240" t="s">
        <v>34</v>
      </c>
      <c r="C2240" t="s">
        <v>68</v>
      </c>
      <c r="D2240">
        <v>0</v>
      </c>
      <c r="E2240" t="s">
        <v>94</v>
      </c>
    </row>
    <row r="2241" spans="1:5" x14ac:dyDescent="0.3">
      <c r="A2241">
        <v>623</v>
      </c>
      <c r="B2241" t="s">
        <v>33</v>
      </c>
      <c r="C2241" t="s">
        <v>68</v>
      </c>
      <c r="D2241">
        <v>1</v>
      </c>
      <c r="E2241" t="s">
        <v>908</v>
      </c>
    </row>
    <row r="2242" spans="1:5" x14ac:dyDescent="0.3">
      <c r="A2242">
        <v>623</v>
      </c>
      <c r="B2242" t="s">
        <v>80</v>
      </c>
      <c r="C2242" t="s">
        <v>68</v>
      </c>
      <c r="D2242">
        <v>6</v>
      </c>
      <c r="E2242" t="s">
        <v>655</v>
      </c>
    </row>
    <row r="2243" spans="1:5" x14ac:dyDescent="0.3">
      <c r="A2243">
        <v>623</v>
      </c>
      <c r="B2243" t="s">
        <v>18</v>
      </c>
      <c r="C2243" t="s">
        <v>37</v>
      </c>
      <c r="D2243">
        <v>1</v>
      </c>
      <c r="E2243" t="s">
        <v>813</v>
      </c>
    </row>
    <row r="2244" spans="1:5" x14ac:dyDescent="0.3">
      <c r="A2244">
        <v>623</v>
      </c>
      <c r="B2244" t="s">
        <v>17</v>
      </c>
      <c r="C2244" t="s">
        <v>37</v>
      </c>
      <c r="D2244">
        <v>1</v>
      </c>
      <c r="E2244" t="s">
        <v>572</v>
      </c>
    </row>
    <row r="2245" spans="1:5" x14ac:dyDescent="0.3">
      <c r="A2245">
        <v>623</v>
      </c>
      <c r="B2245" t="s">
        <v>11</v>
      </c>
      <c r="C2245" t="s">
        <v>37</v>
      </c>
      <c r="D2245">
        <v>35</v>
      </c>
      <c r="E2245" t="s">
        <v>753</v>
      </c>
    </row>
    <row r="2246" spans="1:5" x14ac:dyDescent="0.3">
      <c r="A2246">
        <v>623</v>
      </c>
      <c r="B2246" t="s">
        <v>9</v>
      </c>
      <c r="C2246" t="s">
        <v>37</v>
      </c>
      <c r="D2246">
        <v>82</v>
      </c>
      <c r="E2246" t="s">
        <v>753</v>
      </c>
    </row>
    <row r="2247" spans="1:5" x14ac:dyDescent="0.3">
      <c r="A2247">
        <v>623</v>
      </c>
      <c r="B2247" t="s">
        <v>5</v>
      </c>
      <c r="C2247" t="s">
        <v>36</v>
      </c>
      <c r="D2247">
        <v>1</v>
      </c>
      <c r="E2247" t="s">
        <v>909</v>
      </c>
    </row>
    <row r="2248" spans="1:5" x14ac:dyDescent="0.3">
      <c r="A2248">
        <v>623</v>
      </c>
      <c r="B2248" t="s">
        <v>4</v>
      </c>
      <c r="C2248" t="s">
        <v>36</v>
      </c>
      <c r="D2248">
        <v>0</v>
      </c>
      <c r="E2248" t="s">
        <v>600</v>
      </c>
    </row>
    <row r="2249" spans="1:5" x14ac:dyDescent="0.3">
      <c r="A2249">
        <v>623</v>
      </c>
      <c r="B2249" t="s">
        <v>3</v>
      </c>
      <c r="C2249" t="s">
        <v>37</v>
      </c>
      <c r="D2249">
        <v>36</v>
      </c>
      <c r="E2249" t="s">
        <v>753</v>
      </c>
    </row>
    <row r="2250" spans="1:5" x14ac:dyDescent="0.3">
      <c r="A2250">
        <v>624</v>
      </c>
      <c r="B2250" t="s">
        <v>74</v>
      </c>
      <c r="C2250" t="s">
        <v>65</v>
      </c>
      <c r="D2250">
        <v>84</v>
      </c>
      <c r="E2250" t="s">
        <v>753</v>
      </c>
    </row>
    <row r="2251" spans="1:5" x14ac:dyDescent="0.3">
      <c r="A2251">
        <v>624</v>
      </c>
      <c r="B2251" t="s">
        <v>9</v>
      </c>
      <c r="C2251" t="s">
        <v>37</v>
      </c>
      <c r="D2251">
        <v>4</v>
      </c>
      <c r="E2251" t="s">
        <v>735</v>
      </c>
    </row>
    <row r="2252" spans="1:5" x14ac:dyDescent="0.3">
      <c r="A2252">
        <v>624</v>
      </c>
      <c r="B2252" t="s">
        <v>3</v>
      </c>
      <c r="C2252" t="s">
        <v>37</v>
      </c>
      <c r="D2252">
        <v>5</v>
      </c>
      <c r="E2252" t="s">
        <v>697</v>
      </c>
    </row>
    <row r="2253" spans="1:5" x14ac:dyDescent="0.3">
      <c r="A2253">
        <v>624</v>
      </c>
      <c r="B2253" t="s">
        <v>11</v>
      </c>
      <c r="C2253" t="s">
        <v>37</v>
      </c>
      <c r="D2253">
        <v>5</v>
      </c>
      <c r="E2253" t="s">
        <v>691</v>
      </c>
    </row>
    <row r="2254" spans="1:5" x14ac:dyDescent="0.3">
      <c r="A2254">
        <v>624</v>
      </c>
      <c r="B2254" t="s">
        <v>10</v>
      </c>
      <c r="C2254" t="s">
        <v>37</v>
      </c>
      <c r="D2254">
        <v>32</v>
      </c>
      <c r="E2254" t="s">
        <v>691</v>
      </c>
    </row>
    <row r="2255" spans="1:5" x14ac:dyDescent="0.3">
      <c r="A2255">
        <v>625</v>
      </c>
      <c r="B2255" t="s">
        <v>5</v>
      </c>
      <c r="C2255" t="s">
        <v>36</v>
      </c>
      <c r="D2255">
        <v>3</v>
      </c>
      <c r="E2255" t="s">
        <v>524</v>
      </c>
    </row>
    <row r="2256" spans="1:5" x14ac:dyDescent="0.3">
      <c r="A2256">
        <v>625</v>
      </c>
      <c r="B2256" t="s">
        <v>18</v>
      </c>
      <c r="C2256" t="s">
        <v>37</v>
      </c>
      <c r="D2256">
        <v>1</v>
      </c>
      <c r="E2256" t="s">
        <v>137</v>
      </c>
    </row>
    <row r="2257" spans="1:5" x14ac:dyDescent="0.3">
      <c r="A2257">
        <v>625</v>
      </c>
      <c r="B2257" t="s">
        <v>21</v>
      </c>
      <c r="C2257" t="s">
        <v>65</v>
      </c>
      <c r="D2257">
        <v>19</v>
      </c>
      <c r="E2257" t="s">
        <v>753</v>
      </c>
    </row>
    <row r="2258" spans="1:5" x14ac:dyDescent="0.3">
      <c r="A2258">
        <v>625</v>
      </c>
      <c r="B2258" t="s">
        <v>76</v>
      </c>
      <c r="C2258" t="s">
        <v>68</v>
      </c>
      <c r="D2258">
        <v>0</v>
      </c>
      <c r="E2258" t="s">
        <v>94</v>
      </c>
    </row>
    <row r="2259" spans="1:5" x14ac:dyDescent="0.3">
      <c r="A2259">
        <v>626</v>
      </c>
      <c r="B2259" t="s">
        <v>17</v>
      </c>
      <c r="C2259" t="s">
        <v>37</v>
      </c>
      <c r="D2259">
        <v>0</v>
      </c>
      <c r="E2259" t="s">
        <v>217</v>
      </c>
    </row>
    <row r="2260" spans="1:5" x14ac:dyDescent="0.3">
      <c r="A2260">
        <v>626</v>
      </c>
      <c r="B2260" t="s">
        <v>9</v>
      </c>
      <c r="C2260" t="s">
        <v>37</v>
      </c>
      <c r="D2260">
        <v>7</v>
      </c>
      <c r="E2260" t="s">
        <v>387</v>
      </c>
    </row>
    <row r="2261" spans="1:5" x14ac:dyDescent="0.3">
      <c r="A2261">
        <v>627</v>
      </c>
      <c r="B2261" t="s">
        <v>34</v>
      </c>
      <c r="C2261" t="s">
        <v>68</v>
      </c>
      <c r="D2261">
        <v>0</v>
      </c>
      <c r="E2261" t="s">
        <v>217</v>
      </c>
    </row>
    <row r="2262" spans="1:5" x14ac:dyDescent="0.3">
      <c r="A2262">
        <v>627</v>
      </c>
      <c r="B2262" t="s">
        <v>17</v>
      </c>
      <c r="C2262" t="s">
        <v>37</v>
      </c>
      <c r="D2262">
        <v>0</v>
      </c>
      <c r="E2262" t="s">
        <v>910</v>
      </c>
    </row>
    <row r="2263" spans="1:5" x14ac:dyDescent="0.3">
      <c r="A2263">
        <v>627</v>
      </c>
      <c r="B2263" t="s">
        <v>5</v>
      </c>
      <c r="C2263" t="s">
        <v>36</v>
      </c>
      <c r="D2263">
        <v>2</v>
      </c>
      <c r="E2263" t="s">
        <v>912</v>
      </c>
    </row>
    <row r="2264" spans="1:5" x14ac:dyDescent="0.3">
      <c r="A2264">
        <v>627</v>
      </c>
      <c r="B2264" t="s">
        <v>9</v>
      </c>
      <c r="C2264" t="s">
        <v>37</v>
      </c>
      <c r="D2264">
        <v>0</v>
      </c>
      <c r="E2264" t="s">
        <v>911</v>
      </c>
    </row>
    <row r="2265" spans="1:5" x14ac:dyDescent="0.3">
      <c r="A2265">
        <v>628</v>
      </c>
      <c r="B2265" t="s">
        <v>19</v>
      </c>
      <c r="C2265" t="s">
        <v>65</v>
      </c>
      <c r="D2265">
        <v>1</v>
      </c>
      <c r="E2265" t="s">
        <v>572</v>
      </c>
    </row>
    <row r="2266" spans="1:5" x14ac:dyDescent="0.3">
      <c r="A2266">
        <v>628</v>
      </c>
      <c r="B2266" t="s">
        <v>3</v>
      </c>
      <c r="C2266" t="s">
        <v>37</v>
      </c>
      <c r="D2266">
        <v>18</v>
      </c>
      <c r="E2266" t="s">
        <v>920</v>
      </c>
    </row>
    <row r="2267" spans="1:5" x14ac:dyDescent="0.3">
      <c r="A2267">
        <v>628</v>
      </c>
      <c r="B2267" t="s">
        <v>80</v>
      </c>
      <c r="C2267" t="s">
        <v>68</v>
      </c>
      <c r="D2267">
        <v>-94</v>
      </c>
      <c r="E2267" t="s">
        <v>524</v>
      </c>
    </row>
    <row r="2268" spans="1:5" x14ac:dyDescent="0.3">
      <c r="A2268">
        <v>628</v>
      </c>
      <c r="B2268" t="s">
        <v>28</v>
      </c>
      <c r="C2268" t="s">
        <v>68</v>
      </c>
      <c r="D2268">
        <v>0</v>
      </c>
      <c r="E2268" t="s">
        <v>513</v>
      </c>
    </row>
    <row r="2269" spans="1:5" x14ac:dyDescent="0.3">
      <c r="A2269">
        <v>628</v>
      </c>
      <c r="B2269" t="s">
        <v>26</v>
      </c>
      <c r="C2269" t="s">
        <v>84</v>
      </c>
      <c r="D2269">
        <v>0</v>
      </c>
      <c r="E2269" t="s">
        <v>513</v>
      </c>
    </row>
    <row r="2270" spans="1:5" x14ac:dyDescent="0.3">
      <c r="A2270">
        <v>628</v>
      </c>
      <c r="B2270" t="s">
        <v>25</v>
      </c>
      <c r="C2270" t="s">
        <v>84</v>
      </c>
      <c r="D2270">
        <v>1</v>
      </c>
      <c r="E2270" t="s">
        <v>572</v>
      </c>
    </row>
    <row r="2271" spans="1:5" x14ac:dyDescent="0.3">
      <c r="A2271">
        <v>628</v>
      </c>
      <c r="B2271" t="s">
        <v>4</v>
      </c>
      <c r="C2271" t="s">
        <v>36</v>
      </c>
      <c r="D2271">
        <v>2</v>
      </c>
      <c r="E2271" t="s">
        <v>217</v>
      </c>
    </row>
    <row r="2272" spans="1:5" x14ac:dyDescent="0.3">
      <c r="A2272">
        <v>628</v>
      </c>
      <c r="B2272" t="s">
        <v>11</v>
      </c>
      <c r="C2272" t="s">
        <v>37</v>
      </c>
      <c r="D2272">
        <v>18</v>
      </c>
      <c r="E2272" t="s">
        <v>921</v>
      </c>
    </row>
    <row r="2273" spans="1:5" x14ac:dyDescent="0.3">
      <c r="A2273">
        <v>628</v>
      </c>
      <c r="B2273" t="s">
        <v>10</v>
      </c>
      <c r="C2273" t="s">
        <v>37</v>
      </c>
      <c r="D2273">
        <v>29</v>
      </c>
      <c r="E2273" t="s">
        <v>851</v>
      </c>
    </row>
    <row r="2274" spans="1:5" x14ac:dyDescent="0.3">
      <c r="A2274">
        <v>628</v>
      </c>
      <c r="B2274" t="s">
        <v>9</v>
      </c>
      <c r="C2274" t="s">
        <v>37</v>
      </c>
      <c r="D2274">
        <v>9</v>
      </c>
      <c r="E2274" t="s">
        <v>913</v>
      </c>
    </row>
    <row r="2275" spans="1:5" x14ac:dyDescent="0.3">
      <c r="A2275">
        <v>628</v>
      </c>
      <c r="B2275" t="s">
        <v>5</v>
      </c>
      <c r="C2275" t="s">
        <v>36</v>
      </c>
      <c r="D2275">
        <v>0</v>
      </c>
      <c r="E2275" t="s">
        <v>140</v>
      </c>
    </row>
    <row r="2276" spans="1:5" x14ac:dyDescent="0.3">
      <c r="A2276">
        <v>628</v>
      </c>
      <c r="B2276" t="s">
        <v>14</v>
      </c>
      <c r="C2276" t="s">
        <v>37</v>
      </c>
      <c r="D2276">
        <v>0</v>
      </c>
      <c r="E2276" t="s">
        <v>217</v>
      </c>
    </row>
    <row r="2277" spans="1:5" x14ac:dyDescent="0.3">
      <c r="A2277">
        <v>628</v>
      </c>
      <c r="B2277" t="s">
        <v>12</v>
      </c>
      <c r="C2277" t="s">
        <v>37</v>
      </c>
      <c r="D2277">
        <v>1</v>
      </c>
      <c r="E2277" t="s">
        <v>914</v>
      </c>
    </row>
    <row r="2278" spans="1:5" x14ac:dyDescent="0.3">
      <c r="A2278">
        <v>629</v>
      </c>
      <c r="B2278" t="s">
        <v>3</v>
      </c>
      <c r="C2278" t="s">
        <v>37</v>
      </c>
      <c r="D2278">
        <v>8</v>
      </c>
      <c r="E2278" t="s">
        <v>916</v>
      </c>
    </row>
    <row r="2279" spans="1:5" x14ac:dyDescent="0.3">
      <c r="A2279">
        <v>629</v>
      </c>
      <c r="B2279" t="s">
        <v>34</v>
      </c>
      <c r="C2279" t="s">
        <v>68</v>
      </c>
      <c r="D2279">
        <v>0</v>
      </c>
      <c r="E2279" t="s">
        <v>217</v>
      </c>
    </row>
    <row r="2280" spans="1:5" x14ac:dyDescent="0.3">
      <c r="A2280">
        <v>629</v>
      </c>
      <c r="B2280" t="s">
        <v>12</v>
      </c>
      <c r="C2280" t="s">
        <v>37</v>
      </c>
      <c r="D2280">
        <v>3</v>
      </c>
      <c r="E2280" t="s">
        <v>917</v>
      </c>
    </row>
    <row r="2281" spans="1:5" x14ac:dyDescent="0.3">
      <c r="A2281">
        <v>629</v>
      </c>
      <c r="B2281" t="s">
        <v>11</v>
      </c>
      <c r="C2281" t="s">
        <v>37</v>
      </c>
      <c r="D2281">
        <v>8</v>
      </c>
      <c r="E2281" t="s">
        <v>915</v>
      </c>
    </row>
    <row r="2282" spans="1:5" x14ac:dyDescent="0.3">
      <c r="A2282">
        <v>629</v>
      </c>
      <c r="B2282" t="s">
        <v>21</v>
      </c>
      <c r="C2282" t="s">
        <v>65</v>
      </c>
      <c r="D2282">
        <v>1</v>
      </c>
      <c r="E2282" t="s">
        <v>572</v>
      </c>
    </row>
    <row r="2283" spans="1:5" x14ac:dyDescent="0.3">
      <c r="A2283">
        <v>630</v>
      </c>
      <c r="B2283" t="s">
        <v>11</v>
      </c>
      <c r="C2283" t="s">
        <v>37</v>
      </c>
      <c r="D2283">
        <v>2</v>
      </c>
      <c r="E2283" t="s">
        <v>922</v>
      </c>
    </row>
    <row r="2284" spans="1:5" x14ac:dyDescent="0.3">
      <c r="A2284">
        <v>630</v>
      </c>
      <c r="B2284" t="s">
        <v>10</v>
      </c>
      <c r="C2284" t="s">
        <v>37</v>
      </c>
      <c r="D2284">
        <v>37</v>
      </c>
      <c r="E2284" t="s">
        <v>676</v>
      </c>
    </row>
    <row r="2285" spans="1:5" x14ac:dyDescent="0.3">
      <c r="A2285">
        <v>630</v>
      </c>
      <c r="B2285" t="s">
        <v>9</v>
      </c>
      <c r="C2285" t="s">
        <v>37</v>
      </c>
      <c r="D2285">
        <v>9</v>
      </c>
      <c r="E2285" t="s">
        <v>918</v>
      </c>
    </row>
    <row r="2286" spans="1:5" x14ac:dyDescent="0.3">
      <c r="A2286">
        <v>630</v>
      </c>
      <c r="B2286" t="s">
        <v>4</v>
      </c>
      <c r="C2286" t="s">
        <v>36</v>
      </c>
      <c r="D2286">
        <v>1</v>
      </c>
      <c r="E2286" t="s">
        <v>339</v>
      </c>
    </row>
    <row r="2287" spans="1:5" x14ac:dyDescent="0.3">
      <c r="A2287">
        <v>630</v>
      </c>
      <c r="B2287" t="s">
        <v>5</v>
      </c>
      <c r="C2287" t="s">
        <v>36</v>
      </c>
      <c r="D2287">
        <v>0</v>
      </c>
      <c r="E2287" t="s">
        <v>662</v>
      </c>
    </row>
    <row r="2288" spans="1:5" x14ac:dyDescent="0.3">
      <c r="A2288">
        <v>630</v>
      </c>
      <c r="B2288" t="s">
        <v>3</v>
      </c>
      <c r="C2288" t="s">
        <v>37</v>
      </c>
      <c r="D2288">
        <v>2</v>
      </c>
      <c r="E2288" t="s">
        <v>572</v>
      </c>
    </row>
    <row r="2289" spans="1:5" x14ac:dyDescent="0.3">
      <c r="A2289">
        <v>631</v>
      </c>
      <c r="B2289" t="s">
        <v>80</v>
      </c>
      <c r="C2289" t="s">
        <v>68</v>
      </c>
      <c r="D2289">
        <v>1</v>
      </c>
      <c r="E2289" t="s">
        <v>572</v>
      </c>
    </row>
    <row r="2290" spans="1:5" x14ac:dyDescent="0.3">
      <c r="A2290">
        <v>631</v>
      </c>
      <c r="B2290" t="s">
        <v>35</v>
      </c>
      <c r="C2290" t="s">
        <v>68</v>
      </c>
      <c r="D2290">
        <v>0</v>
      </c>
      <c r="E2290" t="s">
        <v>572</v>
      </c>
    </row>
    <row r="2291" spans="1:5" x14ac:dyDescent="0.3">
      <c r="A2291">
        <v>631</v>
      </c>
      <c r="B2291" t="s">
        <v>25</v>
      </c>
      <c r="C2291" t="s">
        <v>84</v>
      </c>
      <c r="D2291">
        <v>0</v>
      </c>
      <c r="E2291" t="s">
        <v>923</v>
      </c>
    </row>
    <row r="2292" spans="1:5" x14ac:dyDescent="0.3">
      <c r="A2292">
        <v>631</v>
      </c>
      <c r="B2292" t="s">
        <v>3</v>
      </c>
      <c r="C2292" t="s">
        <v>37</v>
      </c>
      <c r="D2292">
        <v>1</v>
      </c>
      <c r="E2292" t="s">
        <v>896</v>
      </c>
    </row>
    <row r="2293" spans="1:5" x14ac:dyDescent="0.3">
      <c r="A2293">
        <v>631</v>
      </c>
      <c r="B2293" t="s">
        <v>11</v>
      </c>
      <c r="C2293" t="s">
        <v>37</v>
      </c>
      <c r="D2293">
        <v>1</v>
      </c>
      <c r="E2293" t="s">
        <v>896</v>
      </c>
    </row>
    <row r="2294" spans="1:5" x14ac:dyDescent="0.3">
      <c r="A2294">
        <v>632</v>
      </c>
      <c r="B2294" t="s">
        <v>19</v>
      </c>
      <c r="C2294" t="s">
        <v>65</v>
      </c>
      <c r="D2294">
        <v>2</v>
      </c>
      <c r="E2294" t="s">
        <v>387</v>
      </c>
    </row>
    <row r="2295" spans="1:5" x14ac:dyDescent="0.3">
      <c r="A2295">
        <v>632</v>
      </c>
      <c r="B2295" t="s">
        <v>5</v>
      </c>
      <c r="C2295" t="s">
        <v>36</v>
      </c>
      <c r="D2295">
        <v>2</v>
      </c>
      <c r="E2295" t="s">
        <v>919</v>
      </c>
    </row>
    <row r="2296" spans="1:5" x14ac:dyDescent="0.3">
      <c r="A2296">
        <v>632</v>
      </c>
      <c r="B2296" t="s">
        <v>10</v>
      </c>
      <c r="C2296" t="s">
        <v>37</v>
      </c>
      <c r="D2296">
        <v>67</v>
      </c>
      <c r="E2296" t="s">
        <v>924</v>
      </c>
    </row>
    <row r="2297" spans="1:5" x14ac:dyDescent="0.3">
      <c r="A2297">
        <v>632</v>
      </c>
      <c r="B2297" t="s">
        <v>9</v>
      </c>
      <c r="C2297" t="s">
        <v>37</v>
      </c>
      <c r="D2297">
        <v>68</v>
      </c>
      <c r="E2297" t="s">
        <v>387</v>
      </c>
    </row>
    <row r="2298" spans="1:5" x14ac:dyDescent="0.3">
      <c r="A2298">
        <v>633</v>
      </c>
      <c r="B2298" t="s">
        <v>25</v>
      </c>
      <c r="C2298" t="s">
        <v>84</v>
      </c>
      <c r="D2298">
        <v>0</v>
      </c>
      <c r="E2298" t="s">
        <v>217</v>
      </c>
    </row>
    <row r="2299" spans="1:5" x14ac:dyDescent="0.3">
      <c r="A2299">
        <v>633</v>
      </c>
      <c r="B2299" t="s">
        <v>29</v>
      </c>
      <c r="C2299" t="s">
        <v>68</v>
      </c>
      <c r="D2299">
        <v>0</v>
      </c>
      <c r="E2299" t="s">
        <v>572</v>
      </c>
    </row>
    <row r="2300" spans="1:5" x14ac:dyDescent="0.3">
      <c r="A2300">
        <v>633</v>
      </c>
      <c r="B2300" t="s">
        <v>21</v>
      </c>
      <c r="C2300" t="s">
        <v>65</v>
      </c>
      <c r="D2300">
        <v>6</v>
      </c>
      <c r="E2300" t="s">
        <v>676</v>
      </c>
    </row>
    <row r="2301" spans="1:5" x14ac:dyDescent="0.3">
      <c r="A2301">
        <v>633</v>
      </c>
      <c r="B2301" t="s">
        <v>17</v>
      </c>
      <c r="C2301" t="s">
        <v>37</v>
      </c>
      <c r="D2301">
        <v>3</v>
      </c>
      <c r="E2301" t="s">
        <v>513</v>
      </c>
    </row>
    <row r="2302" spans="1:5" x14ac:dyDescent="0.3">
      <c r="A2302">
        <v>633</v>
      </c>
      <c r="B2302" t="s">
        <v>3</v>
      </c>
      <c r="C2302" t="s">
        <v>37</v>
      </c>
      <c r="D2302">
        <v>1</v>
      </c>
      <c r="E2302" t="s">
        <v>572</v>
      </c>
    </row>
    <row r="2303" spans="1:5" x14ac:dyDescent="0.3">
      <c r="A2303">
        <v>633</v>
      </c>
      <c r="B2303" t="s">
        <v>11</v>
      </c>
      <c r="C2303" t="s">
        <v>37</v>
      </c>
      <c r="D2303">
        <v>22</v>
      </c>
      <c r="E2303" t="s">
        <v>925</v>
      </c>
    </row>
    <row r="2304" spans="1:5" x14ac:dyDescent="0.3">
      <c r="A2304">
        <v>633</v>
      </c>
      <c r="B2304" t="s">
        <v>10</v>
      </c>
      <c r="C2304" t="s">
        <v>37</v>
      </c>
      <c r="D2304">
        <v>37</v>
      </c>
      <c r="E2304" t="s">
        <v>926</v>
      </c>
    </row>
    <row r="2305" spans="1:5" x14ac:dyDescent="0.3">
      <c r="A2305">
        <v>633</v>
      </c>
      <c r="B2305" t="s">
        <v>8</v>
      </c>
      <c r="C2305" t="s">
        <v>36</v>
      </c>
      <c r="D2305">
        <v>0</v>
      </c>
      <c r="E2305" t="s">
        <v>94</v>
      </c>
    </row>
    <row r="2306" spans="1:5" x14ac:dyDescent="0.3">
      <c r="A2306">
        <v>633</v>
      </c>
      <c r="B2306" t="s">
        <v>5</v>
      </c>
      <c r="C2306" t="s">
        <v>36</v>
      </c>
      <c r="D2306">
        <v>1</v>
      </c>
      <c r="E2306" t="s">
        <v>637</v>
      </c>
    </row>
    <row r="2307" spans="1:5" x14ac:dyDescent="0.3">
      <c r="A2307">
        <v>633</v>
      </c>
      <c r="B2307" t="s">
        <v>80</v>
      </c>
      <c r="C2307" t="s">
        <v>68</v>
      </c>
      <c r="D2307">
        <v>8</v>
      </c>
      <c r="E2307" t="s">
        <v>513</v>
      </c>
    </row>
    <row r="2308" spans="1:5" x14ac:dyDescent="0.3">
      <c r="A2308">
        <v>634</v>
      </c>
      <c r="B2308" t="s">
        <v>5</v>
      </c>
      <c r="C2308" t="s">
        <v>36</v>
      </c>
      <c r="D2308">
        <v>0</v>
      </c>
      <c r="E2308" t="s">
        <v>572</v>
      </c>
    </row>
    <row r="2309" spans="1:5" x14ac:dyDescent="0.3">
      <c r="A2309">
        <v>634</v>
      </c>
      <c r="B2309" t="s">
        <v>4</v>
      </c>
      <c r="C2309" t="s">
        <v>36</v>
      </c>
      <c r="D2309">
        <v>1</v>
      </c>
      <c r="E2309" t="s">
        <v>572</v>
      </c>
    </row>
    <row r="2310" spans="1:5" x14ac:dyDescent="0.3">
      <c r="A2310">
        <v>634</v>
      </c>
      <c r="B2310" t="s">
        <v>18</v>
      </c>
      <c r="C2310" t="s">
        <v>37</v>
      </c>
      <c r="D2310">
        <v>0</v>
      </c>
      <c r="E2310" t="s">
        <v>572</v>
      </c>
    </row>
    <row r="2311" spans="1:5" x14ac:dyDescent="0.3">
      <c r="A2311">
        <v>634</v>
      </c>
      <c r="B2311" t="s">
        <v>3</v>
      </c>
      <c r="C2311" t="s">
        <v>37</v>
      </c>
      <c r="D2311">
        <v>4</v>
      </c>
      <c r="E2311" t="s">
        <v>387</v>
      </c>
    </row>
    <row r="2312" spans="1:5" x14ac:dyDescent="0.3">
      <c r="A2312">
        <v>634</v>
      </c>
      <c r="B2312" t="s">
        <v>21</v>
      </c>
      <c r="C2312" t="s">
        <v>65</v>
      </c>
      <c r="D2312">
        <v>3</v>
      </c>
      <c r="E2312" t="s">
        <v>927</v>
      </c>
    </row>
    <row r="2313" spans="1:5" x14ac:dyDescent="0.3">
      <c r="A2313">
        <v>634</v>
      </c>
      <c r="B2313" t="s">
        <v>11</v>
      </c>
      <c r="C2313" t="s">
        <v>37</v>
      </c>
      <c r="D2313">
        <v>4</v>
      </c>
      <c r="E2313" t="s">
        <v>387</v>
      </c>
    </row>
    <row r="2314" spans="1:5" x14ac:dyDescent="0.3">
      <c r="A2314">
        <v>634</v>
      </c>
      <c r="B2314" t="s">
        <v>9</v>
      </c>
      <c r="C2314" t="s">
        <v>37</v>
      </c>
      <c r="D2314">
        <v>1</v>
      </c>
      <c r="E2314" t="s">
        <v>928</v>
      </c>
    </row>
    <row r="2315" spans="1:5" x14ac:dyDescent="0.3">
      <c r="A2315">
        <v>635</v>
      </c>
      <c r="B2315" t="s">
        <v>5</v>
      </c>
      <c r="C2315" t="s">
        <v>36</v>
      </c>
      <c r="D2315">
        <v>0</v>
      </c>
      <c r="E2315" t="s">
        <v>662</v>
      </c>
    </row>
    <row r="2316" spans="1:5" x14ac:dyDescent="0.3">
      <c r="A2316">
        <v>635</v>
      </c>
      <c r="B2316" t="s">
        <v>9</v>
      </c>
      <c r="C2316" t="s">
        <v>37</v>
      </c>
      <c r="D2316">
        <v>3</v>
      </c>
      <c r="E2316" t="s">
        <v>929</v>
      </c>
    </row>
    <row r="2317" spans="1:5" x14ac:dyDescent="0.3">
      <c r="A2317">
        <v>635</v>
      </c>
      <c r="B2317" t="s">
        <v>10</v>
      </c>
      <c r="C2317" t="s">
        <v>37</v>
      </c>
      <c r="D2317">
        <v>2</v>
      </c>
      <c r="E2317" t="s">
        <v>929</v>
      </c>
    </row>
    <row r="2318" spans="1:5" x14ac:dyDescent="0.3">
      <c r="A2318">
        <v>637</v>
      </c>
      <c r="B2318" t="s">
        <v>5</v>
      </c>
      <c r="C2318" t="s">
        <v>36</v>
      </c>
      <c r="D2318">
        <v>0</v>
      </c>
      <c r="E2318" t="s">
        <v>662</v>
      </c>
    </row>
    <row r="2319" spans="1:5" x14ac:dyDescent="0.3">
      <c r="A2319">
        <v>637</v>
      </c>
      <c r="B2319" t="s">
        <v>4</v>
      </c>
      <c r="C2319" t="s">
        <v>36</v>
      </c>
      <c r="D2319">
        <v>0</v>
      </c>
      <c r="E2319" t="s">
        <v>600</v>
      </c>
    </row>
    <row r="2320" spans="1:5" x14ac:dyDescent="0.3">
      <c r="A2320">
        <v>638</v>
      </c>
      <c r="B2320" t="s">
        <v>5</v>
      </c>
      <c r="C2320" t="s">
        <v>36</v>
      </c>
      <c r="D2320">
        <v>0</v>
      </c>
      <c r="E2320" t="s">
        <v>662</v>
      </c>
    </row>
    <row r="2321" spans="1:5" x14ac:dyDescent="0.3">
      <c r="A2321">
        <v>638</v>
      </c>
      <c r="B2321" t="s">
        <v>4</v>
      </c>
      <c r="C2321" t="s">
        <v>36</v>
      </c>
      <c r="D2321">
        <v>1</v>
      </c>
      <c r="E2321" t="s">
        <v>930</v>
      </c>
    </row>
  </sheetData>
  <sheetProtection algorithmName="SHA-512" hashValue="aT3Ynj4xOhacscQ0KnZCY7ZCPqW+GDnbajeFbY5hZVnnFs22RaMeJoJqi8DL1SPcWpprJFtxDjKhvpZ32XfNSw==" saltValue="IkFvt5BJs/g7yfLo0DPc4A==" spinCount="100000" sheet="1" objects="1" scenarios="1"/>
  <phoneticPr fontId="1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FFAF-B72E-4482-A71F-9BFEE8FF2897}">
  <sheetPr codeName="Sayfa3"/>
  <dimension ref="A1:A2"/>
  <sheetViews>
    <sheetView workbookViewId="0">
      <selection activeCell="A2" sqref="A2"/>
    </sheetView>
  </sheetViews>
  <sheetFormatPr defaultRowHeight="14.4" x14ac:dyDescent="0.3"/>
  <cols>
    <col min="1" max="1" width="74.33203125" customWidth="1"/>
  </cols>
  <sheetData>
    <row r="1" spans="1:1" ht="25.8" x14ac:dyDescent="0.3">
      <c r="A1" s="14" t="s">
        <v>52</v>
      </c>
    </row>
    <row r="2" spans="1:1" ht="292.2" customHeight="1" x14ac:dyDescent="0.3">
      <c r="A2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6D69-D7EC-437E-A327-612A73B5AD4C}">
  <sheetPr codeName="Sayfa2"/>
  <dimension ref="A1:J120"/>
  <sheetViews>
    <sheetView topLeftCell="A50" workbookViewId="0">
      <selection activeCell="J75" sqref="J75"/>
    </sheetView>
  </sheetViews>
  <sheetFormatPr defaultRowHeight="14.4" x14ac:dyDescent="0.3"/>
  <cols>
    <col min="1" max="1" width="9.6640625" bestFit="1" customWidth="1"/>
    <col min="5" max="5" width="13.33203125" bestFit="1" customWidth="1"/>
    <col min="9" max="10" width="15.33203125" bestFit="1" customWidth="1"/>
  </cols>
  <sheetData>
    <row r="1" spans="1:10" x14ac:dyDescent="0.3">
      <c r="A1" s="2"/>
      <c r="B1" s="3"/>
      <c r="C1" s="4"/>
      <c r="D1" s="5"/>
      <c r="E1" s="6"/>
      <c r="F1" s="6"/>
      <c r="G1" s="7"/>
      <c r="H1" s="8"/>
      <c r="I1" s="9"/>
      <c r="J1" s="9"/>
    </row>
    <row r="2" spans="1:10" x14ac:dyDescent="0.3">
      <c r="A2" s="2"/>
      <c r="B2" s="3"/>
      <c r="C2" s="4"/>
      <c r="D2" s="5"/>
      <c r="E2" s="6"/>
      <c r="F2" s="6"/>
      <c r="G2" s="7"/>
      <c r="H2" s="8"/>
      <c r="I2" s="9"/>
      <c r="J2" s="9"/>
    </row>
    <row r="3" spans="1:10" x14ac:dyDescent="0.3">
      <c r="A3" s="2"/>
      <c r="B3" s="7"/>
      <c r="C3" s="4"/>
      <c r="D3" s="5"/>
      <c r="E3" s="6"/>
      <c r="F3" s="6"/>
      <c r="G3" s="7"/>
      <c r="H3" s="8"/>
      <c r="I3" s="9"/>
      <c r="J3" s="9"/>
    </row>
    <row r="4" spans="1:10" x14ac:dyDescent="0.3">
      <c r="A4" s="2"/>
      <c r="B4" s="7"/>
      <c r="C4" s="4"/>
      <c r="D4" s="5"/>
      <c r="E4" s="6"/>
      <c r="F4" s="6"/>
      <c r="G4" s="7"/>
      <c r="H4" s="8"/>
      <c r="I4" s="9"/>
      <c r="J4" s="9"/>
    </row>
    <row r="5" spans="1:10" x14ac:dyDescent="0.3">
      <c r="A5" s="2"/>
      <c r="B5" s="7"/>
      <c r="C5" s="4"/>
      <c r="D5" s="5"/>
      <c r="E5" s="6"/>
      <c r="F5" s="6"/>
      <c r="G5" s="7"/>
      <c r="H5" s="8"/>
      <c r="I5" s="9"/>
      <c r="J5" s="9"/>
    </row>
    <row r="6" spans="1:10" x14ac:dyDescent="0.3">
      <c r="A6" s="2"/>
      <c r="B6" s="7"/>
      <c r="C6" s="4"/>
      <c r="D6" s="5"/>
      <c r="E6" s="6"/>
      <c r="F6" s="6"/>
      <c r="G6" s="7"/>
      <c r="H6" s="8"/>
      <c r="I6" s="9"/>
      <c r="J6" s="9"/>
    </row>
    <row r="7" spans="1:10" x14ac:dyDescent="0.3">
      <c r="A7" s="2"/>
      <c r="B7" s="7"/>
      <c r="C7" s="4"/>
      <c r="D7" s="5"/>
      <c r="E7" s="6"/>
      <c r="F7" s="6"/>
      <c r="G7" s="7"/>
      <c r="H7" s="8"/>
      <c r="I7" s="9"/>
      <c r="J7" s="9"/>
    </row>
    <row r="8" spans="1:10" x14ac:dyDescent="0.3">
      <c r="A8" s="2"/>
      <c r="B8" s="7"/>
      <c r="C8" s="4"/>
      <c r="D8" s="5"/>
      <c r="E8" s="6"/>
      <c r="F8" s="6"/>
      <c r="G8" s="7"/>
      <c r="H8" s="8"/>
      <c r="I8" s="9"/>
      <c r="J8" s="9"/>
    </row>
    <row r="9" spans="1:10" x14ac:dyDescent="0.3">
      <c r="A9" s="2"/>
      <c r="B9" s="7"/>
      <c r="C9" s="4"/>
      <c r="D9" s="5"/>
      <c r="E9" s="6"/>
      <c r="F9" s="6"/>
      <c r="G9" s="7"/>
      <c r="H9" s="8"/>
      <c r="I9" s="9"/>
      <c r="J9" s="9"/>
    </row>
    <row r="10" spans="1:10" x14ac:dyDescent="0.3">
      <c r="A10" s="2"/>
      <c r="B10" s="7"/>
      <c r="C10" s="4"/>
      <c r="D10" s="5"/>
      <c r="E10" s="6"/>
      <c r="F10" s="6"/>
      <c r="G10" s="7"/>
      <c r="H10" s="8"/>
      <c r="I10" s="9"/>
      <c r="J10" s="9"/>
    </row>
    <row r="11" spans="1:10" x14ac:dyDescent="0.3">
      <c r="A11" s="2"/>
      <c r="B11" s="3"/>
      <c r="C11" s="4"/>
      <c r="D11" s="5"/>
      <c r="E11" s="6"/>
      <c r="F11" s="6"/>
      <c r="G11" s="7"/>
      <c r="H11" s="8"/>
      <c r="I11" s="9"/>
      <c r="J11" s="9"/>
    </row>
    <row r="12" spans="1:10" x14ac:dyDescent="0.3">
      <c r="A12" s="2"/>
      <c r="B12" s="7"/>
      <c r="C12" s="4"/>
      <c r="D12" s="5"/>
      <c r="E12" s="6"/>
      <c r="F12" s="6"/>
      <c r="G12" s="7"/>
      <c r="H12" s="8"/>
      <c r="I12" s="9"/>
      <c r="J12" s="9"/>
    </row>
    <row r="13" spans="1:10" x14ac:dyDescent="0.3">
      <c r="A13" s="2"/>
      <c r="B13" s="7"/>
      <c r="C13" s="4"/>
      <c r="D13" s="5"/>
      <c r="E13" s="6"/>
      <c r="F13" s="6"/>
      <c r="G13" s="7"/>
      <c r="H13" s="8"/>
      <c r="I13" s="9"/>
      <c r="J13" s="9"/>
    </row>
    <row r="14" spans="1:10" x14ac:dyDescent="0.3">
      <c r="A14" s="2"/>
      <c r="B14" s="7"/>
      <c r="C14" s="4"/>
      <c r="D14" s="5"/>
      <c r="E14" s="6"/>
      <c r="F14" s="6"/>
      <c r="G14" s="7"/>
      <c r="H14" s="8"/>
      <c r="I14" s="9"/>
      <c r="J14" s="9"/>
    </row>
    <row r="15" spans="1:10" x14ac:dyDescent="0.3">
      <c r="A15" s="2"/>
      <c r="B15" s="3"/>
      <c r="C15" s="4"/>
      <c r="D15" s="5"/>
      <c r="E15" s="6"/>
      <c r="F15" s="6"/>
      <c r="G15" s="7"/>
      <c r="H15" s="8"/>
      <c r="I15" s="9"/>
      <c r="J15" s="9"/>
    </row>
    <row r="16" spans="1:10" x14ac:dyDescent="0.3">
      <c r="A16" s="2"/>
      <c r="B16" s="7"/>
      <c r="C16" s="4"/>
      <c r="D16" s="5"/>
      <c r="E16" s="6"/>
      <c r="F16" s="6"/>
      <c r="G16" s="7"/>
      <c r="H16" s="8"/>
      <c r="I16" s="9"/>
      <c r="J16" s="9"/>
    </row>
    <row r="17" spans="1:10" x14ac:dyDescent="0.3">
      <c r="A17" s="2"/>
      <c r="B17" s="7"/>
      <c r="C17" s="4"/>
      <c r="D17" s="5"/>
      <c r="E17" s="6"/>
      <c r="F17" s="6"/>
      <c r="G17" s="7"/>
      <c r="H17" s="8"/>
      <c r="I17" s="9"/>
      <c r="J17" s="9"/>
    </row>
    <row r="18" spans="1:10" x14ac:dyDescent="0.3">
      <c r="A18" s="2"/>
      <c r="B18" s="3"/>
      <c r="C18" s="4"/>
      <c r="D18" s="5"/>
      <c r="E18" s="6"/>
      <c r="F18" s="6"/>
      <c r="G18" s="7"/>
      <c r="H18" s="8"/>
      <c r="I18" s="9"/>
      <c r="J18" s="9"/>
    </row>
    <row r="19" spans="1:10" x14ac:dyDescent="0.3">
      <c r="A19" s="2"/>
      <c r="B19" s="7"/>
      <c r="C19" s="4"/>
      <c r="D19" s="5"/>
      <c r="E19" s="6"/>
      <c r="F19" s="6"/>
      <c r="G19" s="7"/>
      <c r="H19" s="8"/>
      <c r="I19" s="9"/>
      <c r="J19" s="9"/>
    </row>
    <row r="20" spans="1:10" x14ac:dyDescent="0.3">
      <c r="A20" s="2"/>
      <c r="B20" s="7"/>
      <c r="C20" s="4"/>
      <c r="D20" s="5"/>
      <c r="E20" s="6"/>
      <c r="F20" s="6"/>
      <c r="G20" s="7"/>
      <c r="H20" s="8"/>
      <c r="I20" s="9"/>
      <c r="J20" s="9"/>
    </row>
    <row r="21" spans="1:10" x14ac:dyDescent="0.3">
      <c r="A21" s="2"/>
      <c r="B21" s="7"/>
      <c r="C21" s="4"/>
      <c r="D21" s="5"/>
      <c r="E21" s="6"/>
      <c r="F21" s="6"/>
      <c r="G21" s="7"/>
      <c r="H21" s="8"/>
      <c r="I21" s="9"/>
      <c r="J21" s="9"/>
    </row>
    <row r="22" spans="1:10" x14ac:dyDescent="0.3">
      <c r="A22" s="2"/>
      <c r="B22" s="3"/>
      <c r="C22" s="4"/>
      <c r="D22" s="5"/>
      <c r="E22" s="6"/>
      <c r="F22" s="6"/>
      <c r="G22" s="7"/>
      <c r="H22" s="8"/>
      <c r="I22" s="9"/>
      <c r="J22" s="9"/>
    </row>
    <row r="23" spans="1:10" x14ac:dyDescent="0.3">
      <c r="A23" s="2"/>
      <c r="B23" s="7"/>
      <c r="C23" s="4"/>
      <c r="D23" s="5"/>
      <c r="E23" s="6"/>
      <c r="F23" s="6"/>
      <c r="G23" s="7"/>
      <c r="H23" s="8"/>
      <c r="I23" s="9"/>
      <c r="J23" s="9"/>
    </row>
    <row r="24" spans="1:10" x14ac:dyDescent="0.3">
      <c r="A24" s="2"/>
      <c r="B24" s="7"/>
      <c r="C24" s="4"/>
      <c r="D24" s="5"/>
      <c r="E24" s="6"/>
      <c r="F24" s="6"/>
      <c r="G24" s="7"/>
      <c r="H24" s="8"/>
      <c r="I24" s="9"/>
      <c r="J24" s="9"/>
    </row>
    <row r="25" spans="1:10" x14ac:dyDescent="0.3">
      <c r="A25" s="2"/>
      <c r="B25" s="7"/>
      <c r="C25" s="4"/>
      <c r="D25" s="5"/>
      <c r="E25" s="6"/>
      <c r="F25" s="6"/>
      <c r="G25" s="7"/>
      <c r="H25" s="8"/>
      <c r="I25" s="9"/>
      <c r="J25" s="9"/>
    </row>
    <row r="26" spans="1:10" x14ac:dyDescent="0.3">
      <c r="A26" s="2"/>
      <c r="B26" s="7"/>
      <c r="C26" s="4"/>
      <c r="D26" s="5"/>
      <c r="E26" s="6"/>
      <c r="F26" s="6"/>
      <c r="G26" s="7"/>
      <c r="H26" s="8"/>
      <c r="I26" s="9"/>
      <c r="J26" s="9"/>
    </row>
    <row r="27" spans="1:10" x14ac:dyDescent="0.3">
      <c r="A27" s="2"/>
      <c r="B27" s="3"/>
      <c r="C27" s="4"/>
      <c r="D27" s="5"/>
      <c r="E27" s="6"/>
      <c r="F27" s="6"/>
      <c r="G27" s="7"/>
      <c r="H27" s="8"/>
      <c r="I27" s="9"/>
      <c r="J27" s="9"/>
    </row>
    <row r="28" spans="1:10" x14ac:dyDescent="0.3">
      <c r="A28" s="2"/>
      <c r="B28" s="7"/>
      <c r="C28" s="4"/>
      <c r="D28" s="5"/>
      <c r="E28" s="6"/>
      <c r="F28" s="6"/>
      <c r="G28" s="7"/>
      <c r="H28" s="8"/>
      <c r="I28" s="9"/>
      <c r="J28" s="9"/>
    </row>
    <row r="29" spans="1:10" x14ac:dyDescent="0.3">
      <c r="A29" s="2"/>
      <c r="B29" s="7"/>
      <c r="C29" s="4"/>
      <c r="D29" s="5"/>
      <c r="E29" s="6"/>
      <c r="F29" s="6"/>
      <c r="G29" s="7"/>
      <c r="H29" s="8"/>
      <c r="I29" s="9"/>
      <c r="J29" s="9"/>
    </row>
    <row r="30" spans="1:10" x14ac:dyDescent="0.3">
      <c r="A30" s="2"/>
      <c r="B30" s="7"/>
      <c r="C30" s="4"/>
      <c r="D30" s="5"/>
      <c r="E30" s="6"/>
      <c r="F30" s="6"/>
      <c r="G30" s="7"/>
      <c r="H30" s="8"/>
      <c r="I30" s="9"/>
      <c r="J30" s="9"/>
    </row>
    <row r="31" spans="1:10" x14ac:dyDescent="0.3">
      <c r="A31" s="2"/>
      <c r="B31" s="7"/>
      <c r="C31" s="4"/>
      <c r="D31" s="5"/>
      <c r="E31" s="6"/>
      <c r="F31" s="6"/>
      <c r="G31" s="7"/>
      <c r="H31" s="8"/>
      <c r="I31" s="9"/>
      <c r="J31" s="9"/>
    </row>
    <row r="32" spans="1:10" x14ac:dyDescent="0.3">
      <c r="A32" s="2"/>
      <c r="B32" s="3"/>
      <c r="C32" s="4"/>
      <c r="D32" s="5"/>
      <c r="E32" s="6"/>
      <c r="F32" s="6"/>
      <c r="G32" s="7"/>
      <c r="H32" s="8"/>
      <c r="I32" s="9"/>
      <c r="J32" s="9"/>
    </row>
    <row r="33" spans="1:10" x14ac:dyDescent="0.3">
      <c r="A33" s="2"/>
      <c r="B33" s="7"/>
      <c r="C33" s="4"/>
      <c r="D33" s="5"/>
      <c r="E33" s="6"/>
      <c r="F33" s="6"/>
      <c r="G33" s="7"/>
      <c r="H33" s="8"/>
      <c r="I33" s="9"/>
      <c r="J33" s="9"/>
    </row>
    <row r="34" spans="1:10" x14ac:dyDescent="0.3">
      <c r="A34" s="2"/>
      <c r="B34" s="7"/>
      <c r="C34" s="4"/>
      <c r="D34" s="5"/>
      <c r="E34" s="6"/>
      <c r="F34" s="6"/>
      <c r="G34" s="7"/>
      <c r="H34" s="8"/>
      <c r="I34" s="9"/>
      <c r="J34" s="9"/>
    </row>
    <row r="35" spans="1:10" x14ac:dyDescent="0.3">
      <c r="A35" s="2"/>
      <c r="B35" s="7"/>
      <c r="C35" s="4"/>
      <c r="D35" s="5"/>
      <c r="E35" s="6"/>
      <c r="F35" s="6"/>
      <c r="G35" s="7"/>
      <c r="H35" s="8"/>
      <c r="I35" s="9"/>
      <c r="J35" s="9"/>
    </row>
    <row r="36" spans="1:10" x14ac:dyDescent="0.3">
      <c r="A36" s="10"/>
      <c r="B36" s="7"/>
      <c r="C36" s="4"/>
      <c r="D36" s="5"/>
      <c r="E36" s="6"/>
      <c r="F36" s="6"/>
      <c r="G36" s="7"/>
      <c r="H36" s="8"/>
      <c r="I36" s="9"/>
      <c r="J36" s="9"/>
    </row>
    <row r="37" spans="1:10" x14ac:dyDescent="0.3">
      <c r="A37" s="10"/>
      <c r="B37" s="3"/>
      <c r="C37" s="4"/>
      <c r="D37" s="5"/>
      <c r="E37" s="6"/>
      <c r="F37" s="6"/>
      <c r="G37" s="7"/>
      <c r="H37" s="8"/>
      <c r="I37" s="9"/>
      <c r="J37" s="9"/>
    </row>
    <row r="38" spans="1:10" x14ac:dyDescent="0.3">
      <c r="A38" s="10"/>
      <c r="B38" s="7"/>
      <c r="C38" s="4"/>
      <c r="D38" s="5"/>
      <c r="E38" s="6"/>
      <c r="F38" s="6"/>
      <c r="G38" s="7"/>
      <c r="H38" s="8"/>
      <c r="I38" s="9"/>
      <c r="J38" s="9"/>
    </row>
    <row r="39" spans="1:10" x14ac:dyDescent="0.3">
      <c r="A39" s="10"/>
      <c r="B39" s="7"/>
      <c r="C39" s="4"/>
      <c r="D39" s="5"/>
      <c r="E39" s="6"/>
      <c r="F39" s="6"/>
      <c r="G39" s="7"/>
      <c r="H39" s="8"/>
      <c r="I39" s="9"/>
      <c r="J39" s="9"/>
    </row>
    <row r="40" spans="1:10" ht="15" thickBot="1" x14ac:dyDescent="0.35">
      <c r="A40" s="10"/>
      <c r="B40" s="7"/>
      <c r="C40" s="20"/>
      <c r="D40" s="21"/>
      <c r="E40" s="22"/>
      <c r="F40" s="22"/>
      <c r="G40" s="23"/>
      <c r="H40" s="8"/>
      <c r="I40" s="9"/>
      <c r="J40" s="9"/>
    </row>
    <row r="41" spans="1:10" x14ac:dyDescent="0.3">
      <c r="A41" s="2"/>
      <c r="B41" s="3"/>
      <c r="C41" s="4"/>
      <c r="D41" s="5"/>
      <c r="E41" s="6"/>
      <c r="F41" s="6"/>
      <c r="G41" s="7"/>
      <c r="H41" s="8"/>
      <c r="I41" s="9"/>
      <c r="J41" s="9"/>
    </row>
    <row r="42" spans="1:10" x14ac:dyDescent="0.3">
      <c r="A42" s="2"/>
      <c r="B42" s="3"/>
      <c r="C42" s="4"/>
      <c r="D42" s="5"/>
      <c r="E42" s="6"/>
      <c r="F42" s="6"/>
      <c r="G42" s="7"/>
      <c r="H42" s="8"/>
      <c r="I42" s="9"/>
      <c r="J42" s="9"/>
    </row>
    <row r="43" spans="1:10" x14ac:dyDescent="0.3">
      <c r="A43" s="2"/>
      <c r="B43" s="7"/>
      <c r="C43" s="4"/>
      <c r="D43" s="11"/>
      <c r="E43" s="6"/>
      <c r="F43" s="7"/>
      <c r="G43" s="7"/>
      <c r="H43" s="8"/>
      <c r="I43" s="9"/>
      <c r="J43" s="9"/>
    </row>
    <row r="44" spans="1:10" x14ac:dyDescent="0.3">
      <c r="A44" s="2"/>
      <c r="B44" s="7"/>
      <c r="C44" s="4"/>
      <c r="D44" s="11"/>
      <c r="E44" s="6"/>
      <c r="F44" s="7"/>
      <c r="G44" s="7"/>
      <c r="H44" s="8"/>
      <c r="I44" s="9"/>
      <c r="J44" s="9"/>
    </row>
    <row r="45" spans="1:10" x14ac:dyDescent="0.3">
      <c r="A45" s="2"/>
      <c r="B45" s="7"/>
      <c r="C45" s="4"/>
      <c r="D45" s="11"/>
      <c r="E45" s="6"/>
      <c r="F45" s="7"/>
      <c r="G45" s="7"/>
      <c r="H45" s="8"/>
      <c r="I45" s="9"/>
      <c r="J45" s="9"/>
    </row>
    <row r="46" spans="1:10" x14ac:dyDescent="0.3">
      <c r="A46" s="2"/>
      <c r="B46" s="7"/>
      <c r="C46" s="4"/>
      <c r="D46" s="11"/>
      <c r="E46" s="6"/>
      <c r="F46" s="7"/>
      <c r="G46" s="7"/>
      <c r="H46" s="8"/>
      <c r="I46" s="9"/>
      <c r="J46" s="9"/>
    </row>
    <row r="47" spans="1:10" x14ac:dyDescent="0.3">
      <c r="A47" s="2"/>
      <c r="B47" s="7"/>
      <c r="C47" s="4"/>
      <c r="D47" s="11"/>
      <c r="E47" s="6"/>
      <c r="F47" s="7"/>
      <c r="G47" s="7"/>
      <c r="H47" s="8"/>
      <c r="I47" s="9"/>
      <c r="J47" s="9"/>
    </row>
    <row r="48" spans="1:10" x14ac:dyDescent="0.3">
      <c r="A48" s="2"/>
      <c r="B48" s="7"/>
      <c r="C48" s="4"/>
      <c r="D48" s="11"/>
      <c r="E48" s="6"/>
      <c r="F48" s="7"/>
      <c r="G48" s="7"/>
      <c r="H48" s="8"/>
      <c r="I48" s="9"/>
      <c r="J48" s="9"/>
    </row>
    <row r="49" spans="1:10" x14ac:dyDescent="0.3">
      <c r="A49" s="2"/>
      <c r="B49" s="7"/>
      <c r="C49" s="4"/>
      <c r="D49" s="11"/>
      <c r="E49" s="6"/>
      <c r="F49" s="7"/>
      <c r="G49" s="7"/>
      <c r="H49" s="8"/>
      <c r="I49" s="9"/>
      <c r="J49" s="9"/>
    </row>
    <row r="50" spans="1:10" x14ac:dyDescent="0.3">
      <c r="A50" s="2"/>
      <c r="B50" s="7"/>
      <c r="C50" s="4"/>
      <c r="D50" s="11"/>
      <c r="E50" s="6"/>
      <c r="F50" s="7"/>
      <c r="G50" s="7"/>
      <c r="H50" s="8"/>
      <c r="I50" s="9"/>
      <c r="J50" s="9"/>
    </row>
    <row r="51" spans="1:10" x14ac:dyDescent="0.3">
      <c r="A51" s="2"/>
      <c r="B51" s="7"/>
      <c r="C51" s="4"/>
      <c r="D51" s="11"/>
      <c r="E51" s="6"/>
      <c r="F51" s="7"/>
      <c r="G51" s="7"/>
      <c r="H51" s="8"/>
      <c r="I51" s="9"/>
      <c r="J51" s="9"/>
    </row>
    <row r="52" spans="1:10" x14ac:dyDescent="0.3">
      <c r="A52" s="2"/>
      <c r="B52" s="3"/>
      <c r="C52" s="4"/>
      <c r="D52" s="11"/>
      <c r="E52" s="6"/>
      <c r="F52" s="7"/>
      <c r="G52" s="7"/>
      <c r="H52" s="8"/>
      <c r="I52" s="9"/>
      <c r="J52" s="9"/>
    </row>
    <row r="53" spans="1:10" x14ac:dyDescent="0.3">
      <c r="A53" s="2"/>
      <c r="B53" s="7"/>
      <c r="C53" s="4"/>
      <c r="D53" s="11"/>
      <c r="E53" s="6"/>
      <c r="F53" s="7"/>
      <c r="G53" s="7"/>
      <c r="H53" s="8"/>
      <c r="I53" s="9"/>
      <c r="J53" s="9"/>
    </row>
    <row r="54" spans="1:10" x14ac:dyDescent="0.3">
      <c r="A54" s="2"/>
      <c r="B54" s="7"/>
      <c r="C54" s="4"/>
      <c r="D54" s="11"/>
      <c r="E54" s="6"/>
      <c r="F54" s="7"/>
      <c r="G54" s="7"/>
      <c r="H54" s="8"/>
      <c r="I54" s="9"/>
      <c r="J54" s="9"/>
    </row>
    <row r="55" spans="1:10" x14ac:dyDescent="0.3">
      <c r="A55" s="2"/>
      <c r="B55" s="3"/>
      <c r="C55" s="4"/>
      <c r="D55" s="11"/>
      <c r="E55" s="6"/>
      <c r="F55" s="7"/>
      <c r="G55" s="7"/>
      <c r="H55" s="8"/>
      <c r="I55" s="9"/>
      <c r="J55" s="9"/>
    </row>
    <row r="56" spans="1:10" x14ac:dyDescent="0.3">
      <c r="A56" s="2"/>
      <c r="B56" s="7"/>
      <c r="C56" s="4"/>
      <c r="D56" s="11"/>
      <c r="E56" s="6"/>
      <c r="F56" s="7"/>
      <c r="G56" s="7"/>
      <c r="H56" s="8"/>
      <c r="I56" s="9"/>
      <c r="J56" s="9"/>
    </row>
    <row r="57" spans="1:10" x14ac:dyDescent="0.3">
      <c r="A57" s="2"/>
      <c r="B57" s="7"/>
      <c r="C57" s="4"/>
      <c r="D57" s="11"/>
      <c r="E57" s="6"/>
      <c r="F57" s="7"/>
      <c r="G57" s="7"/>
      <c r="H57" s="8"/>
      <c r="I57" s="9"/>
      <c r="J57" s="9"/>
    </row>
    <row r="58" spans="1:10" x14ac:dyDescent="0.3">
      <c r="A58" s="2"/>
      <c r="B58" s="7"/>
      <c r="C58" s="4"/>
      <c r="D58" s="11"/>
      <c r="E58" s="6"/>
      <c r="F58" s="7"/>
      <c r="G58" s="7"/>
      <c r="H58" s="8"/>
      <c r="I58" s="9"/>
      <c r="J58" s="9"/>
    </row>
    <row r="59" spans="1:10" x14ac:dyDescent="0.3">
      <c r="A59" s="2"/>
      <c r="B59" s="3"/>
      <c r="C59" s="4"/>
      <c r="D59" s="11"/>
      <c r="E59" s="6"/>
      <c r="F59" s="7"/>
      <c r="G59" s="7"/>
      <c r="H59" s="8"/>
      <c r="I59" s="9"/>
      <c r="J59" s="9"/>
    </row>
    <row r="60" spans="1:10" x14ac:dyDescent="0.3">
      <c r="A60" s="2"/>
      <c r="B60" s="7"/>
      <c r="C60" s="4"/>
      <c r="D60" s="11"/>
      <c r="E60" s="6"/>
      <c r="F60" s="7"/>
      <c r="G60" s="7"/>
      <c r="H60" s="8"/>
      <c r="I60" s="9"/>
      <c r="J60" s="9"/>
    </row>
    <row r="61" spans="1:10" x14ac:dyDescent="0.3">
      <c r="A61" s="2"/>
      <c r="B61" s="7"/>
      <c r="C61" s="4"/>
      <c r="D61" s="11"/>
      <c r="E61" s="6"/>
      <c r="F61" s="7"/>
      <c r="G61" s="7"/>
      <c r="H61" s="8"/>
      <c r="I61" s="9"/>
      <c r="J61" s="9"/>
    </row>
    <row r="62" spans="1:10" x14ac:dyDescent="0.3">
      <c r="A62" s="2"/>
      <c r="B62" s="7"/>
      <c r="C62" s="4"/>
      <c r="D62" s="11"/>
      <c r="E62" s="6"/>
      <c r="F62" s="7"/>
      <c r="G62" s="7"/>
      <c r="H62" s="8"/>
      <c r="I62" s="9"/>
      <c r="J62" s="9"/>
    </row>
    <row r="63" spans="1:10" x14ac:dyDescent="0.3">
      <c r="A63" s="2"/>
      <c r="B63" s="3"/>
      <c r="C63" s="4"/>
      <c r="D63" s="11"/>
      <c r="E63" s="6"/>
      <c r="F63" s="7"/>
      <c r="G63" s="7"/>
      <c r="H63" s="8"/>
      <c r="I63" s="9"/>
      <c r="J63" s="9"/>
    </row>
    <row r="64" spans="1:10" x14ac:dyDescent="0.3">
      <c r="A64" s="2"/>
      <c r="B64" s="15"/>
      <c r="C64" s="4"/>
      <c r="D64" s="11"/>
      <c r="E64" s="6"/>
      <c r="F64" s="7"/>
      <c r="G64" s="7"/>
      <c r="H64" s="8"/>
      <c r="I64" s="9"/>
      <c r="J64" s="9"/>
    </row>
    <row r="65" spans="1:10" x14ac:dyDescent="0.3">
      <c r="A65" s="2"/>
      <c r="B65" s="15"/>
      <c r="C65" s="4"/>
      <c r="D65" s="11"/>
      <c r="E65" s="6"/>
      <c r="F65" s="7"/>
      <c r="G65" s="7"/>
      <c r="H65" s="8"/>
      <c r="I65" s="9"/>
      <c r="J65" s="9"/>
    </row>
    <row r="66" spans="1:10" x14ac:dyDescent="0.3">
      <c r="A66" s="2"/>
      <c r="B66" s="3"/>
      <c r="C66" s="4"/>
      <c r="D66" s="11"/>
      <c r="E66" s="6"/>
      <c r="F66" s="7"/>
      <c r="G66" s="7"/>
      <c r="H66" s="8"/>
      <c r="I66" s="9"/>
      <c r="J66" s="9"/>
    </row>
    <row r="67" spans="1:10" x14ac:dyDescent="0.3">
      <c r="A67" s="2"/>
      <c r="B67" s="15"/>
      <c r="C67" s="4"/>
      <c r="D67" s="11"/>
      <c r="E67" s="6"/>
      <c r="F67" s="7"/>
      <c r="G67" s="7"/>
      <c r="H67" s="8"/>
      <c r="I67" s="9"/>
      <c r="J67" s="9"/>
    </row>
    <row r="68" spans="1:10" x14ac:dyDescent="0.3">
      <c r="A68" s="2"/>
      <c r="B68" s="15"/>
      <c r="C68" s="4"/>
      <c r="D68" s="11"/>
      <c r="E68" s="19"/>
      <c r="F68" s="7"/>
      <c r="G68" s="7"/>
      <c r="H68" s="8"/>
      <c r="I68" s="9"/>
      <c r="J68" s="9"/>
    </row>
    <row r="69" spans="1:10" x14ac:dyDescent="0.3">
      <c r="A69" s="2"/>
      <c r="B69" s="15"/>
      <c r="C69" s="4"/>
      <c r="D69" s="11"/>
      <c r="E69" s="6"/>
      <c r="F69" s="7"/>
      <c r="G69" s="7"/>
      <c r="H69" s="8"/>
      <c r="I69" s="9"/>
      <c r="J69" s="9"/>
    </row>
    <row r="70" spans="1:10" x14ac:dyDescent="0.3">
      <c r="A70" s="2"/>
      <c r="B70" s="15"/>
      <c r="C70" s="4"/>
      <c r="D70" s="11"/>
      <c r="E70" s="6"/>
      <c r="F70" s="7"/>
      <c r="G70" s="7"/>
      <c r="H70" s="8"/>
      <c r="I70" s="9"/>
      <c r="J70" s="9"/>
    </row>
    <row r="71" spans="1:10" x14ac:dyDescent="0.3">
      <c r="A71" s="2"/>
      <c r="B71" s="3"/>
      <c r="C71" s="4"/>
      <c r="D71" s="11"/>
      <c r="E71" s="6"/>
      <c r="F71" s="7"/>
      <c r="G71" s="7"/>
      <c r="H71" s="8"/>
      <c r="I71" s="9"/>
      <c r="J71" s="9"/>
    </row>
    <row r="72" spans="1:10" x14ac:dyDescent="0.3">
      <c r="A72" s="2"/>
      <c r="B72" s="15"/>
      <c r="C72" s="4"/>
      <c r="D72" s="11"/>
      <c r="E72" s="6"/>
      <c r="F72" s="7"/>
      <c r="G72" s="7"/>
      <c r="H72" s="8"/>
      <c r="I72" s="9"/>
      <c r="J72" s="9"/>
    </row>
    <row r="73" spans="1:10" x14ac:dyDescent="0.3">
      <c r="A73" s="2"/>
      <c r="B73" s="15"/>
      <c r="C73" s="4"/>
      <c r="D73" s="11"/>
      <c r="E73" s="6"/>
      <c r="F73" s="7"/>
      <c r="G73" s="7"/>
      <c r="H73" s="8"/>
      <c r="I73" s="9"/>
      <c r="J73" s="9"/>
    </row>
    <row r="74" spans="1:10" x14ac:dyDescent="0.3">
      <c r="A74" s="2"/>
      <c r="B74" s="15"/>
      <c r="C74" s="4"/>
      <c r="D74" s="11"/>
      <c r="E74" s="6"/>
      <c r="F74" s="7"/>
      <c r="G74" s="7"/>
      <c r="H74" s="8"/>
      <c r="I74" s="9"/>
      <c r="J74" s="9"/>
    </row>
    <row r="75" spans="1:10" x14ac:dyDescent="0.3">
      <c r="A75" s="2"/>
      <c r="B75" s="15"/>
      <c r="C75" s="4"/>
      <c r="D75" s="11"/>
      <c r="E75" s="6"/>
      <c r="F75" s="7"/>
      <c r="G75" s="7"/>
      <c r="H75" s="8"/>
      <c r="I75" s="9"/>
      <c r="J75" s="9"/>
    </row>
    <row r="76" spans="1:10" x14ac:dyDescent="0.3">
      <c r="A76" s="2"/>
      <c r="B76" s="3"/>
      <c r="C76" s="4"/>
      <c r="D76" s="11"/>
      <c r="E76" s="6"/>
      <c r="F76" s="7"/>
      <c r="G76" s="7"/>
      <c r="H76" s="8"/>
      <c r="I76" s="9"/>
      <c r="J76" s="9"/>
    </row>
    <row r="77" spans="1:10" x14ac:dyDescent="0.3">
      <c r="A77" s="10"/>
      <c r="B77" s="15"/>
      <c r="C77" s="4"/>
      <c r="D77" s="11"/>
      <c r="E77" s="6"/>
      <c r="F77" s="7"/>
      <c r="G77" s="7"/>
      <c r="H77" s="8"/>
      <c r="I77" s="9"/>
      <c r="J77" s="9"/>
    </row>
    <row r="78" spans="1:10" x14ac:dyDescent="0.3">
      <c r="A78" s="10"/>
      <c r="B78" s="15"/>
      <c r="C78" s="4"/>
      <c r="D78" s="11"/>
      <c r="E78" s="6"/>
      <c r="F78" s="7"/>
      <c r="G78" s="7"/>
      <c r="H78" s="8"/>
      <c r="I78" s="9"/>
      <c r="J78" s="9"/>
    </row>
    <row r="79" spans="1:10" x14ac:dyDescent="0.3">
      <c r="A79" s="10"/>
      <c r="B79" s="15"/>
      <c r="C79" s="4"/>
      <c r="D79" s="11"/>
      <c r="E79" s="6"/>
      <c r="F79" s="7"/>
      <c r="G79" s="7"/>
      <c r="H79" s="8"/>
      <c r="I79" s="9"/>
      <c r="J79" s="9"/>
    </row>
    <row r="80" spans="1:10" x14ac:dyDescent="0.3">
      <c r="A80" s="10"/>
      <c r="B80" s="15"/>
      <c r="C80" s="4"/>
      <c r="D80" s="11"/>
      <c r="E80" s="6"/>
      <c r="F80" s="7"/>
      <c r="G80" s="7"/>
      <c r="H80" s="8"/>
      <c r="I80" s="9"/>
      <c r="J80" s="9"/>
    </row>
    <row r="81" spans="1:10" x14ac:dyDescent="0.3">
      <c r="A81" s="10"/>
      <c r="B81" s="3"/>
      <c r="C81" s="4"/>
      <c r="D81" s="11"/>
      <c r="E81" s="6"/>
      <c r="F81" s="7"/>
      <c r="G81" s="7"/>
      <c r="H81" s="8"/>
      <c r="I81" s="9"/>
    </row>
    <row r="82" spans="1:10" x14ac:dyDescent="0.3">
      <c r="A82" s="2"/>
      <c r="B82" s="3"/>
      <c r="C82" s="4"/>
      <c r="D82" s="5"/>
      <c r="E82" s="6"/>
      <c r="F82" s="6"/>
      <c r="G82" s="7"/>
      <c r="H82" s="8"/>
      <c r="I82" s="9"/>
      <c r="J82" s="9"/>
    </row>
    <row r="83" spans="1:10" x14ac:dyDescent="0.3">
      <c r="A83" s="2"/>
      <c r="B83" s="3"/>
      <c r="C83" s="4"/>
      <c r="D83" s="5"/>
      <c r="E83" s="6"/>
      <c r="F83" s="6"/>
      <c r="G83" s="7"/>
      <c r="H83" s="8"/>
      <c r="I83" s="9"/>
      <c r="J83" s="9"/>
    </row>
    <row r="84" spans="1:10" x14ac:dyDescent="0.3">
      <c r="A84" s="12"/>
      <c r="B84" s="7"/>
      <c r="C84" s="4"/>
      <c r="D84" s="11"/>
      <c r="E84" s="6"/>
      <c r="F84" s="7"/>
      <c r="G84" s="7"/>
      <c r="H84" s="8"/>
      <c r="I84" s="9"/>
      <c r="J84" s="9"/>
    </row>
    <row r="85" spans="1:10" x14ac:dyDescent="0.3">
      <c r="A85" s="12"/>
      <c r="B85" s="7"/>
      <c r="C85" s="4"/>
      <c r="D85" s="11"/>
      <c r="E85" s="6"/>
      <c r="F85" s="7"/>
      <c r="G85" s="7"/>
      <c r="H85" s="8"/>
      <c r="I85" s="9"/>
      <c r="J85" s="9"/>
    </row>
    <row r="86" spans="1:10" x14ac:dyDescent="0.3">
      <c r="A86" s="12"/>
      <c r="B86" s="7"/>
      <c r="C86" s="4"/>
      <c r="D86" s="11"/>
      <c r="E86" s="6"/>
      <c r="F86" s="7"/>
      <c r="G86" s="7"/>
      <c r="H86" s="8"/>
      <c r="I86" s="9"/>
      <c r="J86" s="9"/>
    </row>
    <row r="87" spans="1:10" x14ac:dyDescent="0.3">
      <c r="A87" s="12"/>
      <c r="B87" s="7"/>
      <c r="C87" s="4"/>
      <c r="D87" s="11"/>
      <c r="E87" s="6"/>
      <c r="F87" s="7"/>
      <c r="G87" s="7"/>
      <c r="H87" s="8"/>
      <c r="I87" s="9"/>
      <c r="J87" s="9"/>
    </row>
    <row r="88" spans="1:10" x14ac:dyDescent="0.3">
      <c r="A88" s="12"/>
      <c r="B88" s="7"/>
      <c r="C88" s="4"/>
      <c r="D88" s="11"/>
      <c r="E88" s="6"/>
      <c r="F88" s="7"/>
      <c r="G88" s="7"/>
      <c r="H88" s="8"/>
      <c r="I88" s="9"/>
      <c r="J88" s="9"/>
    </row>
    <row r="89" spans="1:10" x14ac:dyDescent="0.3">
      <c r="A89" s="12"/>
      <c r="B89" s="7"/>
      <c r="C89" s="4"/>
      <c r="D89" s="11"/>
      <c r="E89" s="6"/>
      <c r="F89" s="7"/>
      <c r="G89" s="7"/>
      <c r="H89" s="8"/>
      <c r="I89" s="9"/>
      <c r="J89" s="9"/>
    </row>
    <row r="90" spans="1:10" x14ac:dyDescent="0.3">
      <c r="A90" s="12"/>
      <c r="B90" s="7"/>
      <c r="C90" s="4"/>
      <c r="D90" s="11"/>
      <c r="E90" s="6"/>
      <c r="F90" s="7"/>
      <c r="G90" s="7"/>
      <c r="H90" s="8"/>
      <c r="I90" s="9"/>
      <c r="J90" s="9"/>
    </row>
    <row r="91" spans="1:10" x14ac:dyDescent="0.3">
      <c r="A91" s="12"/>
      <c r="B91" s="7"/>
      <c r="C91" s="4"/>
      <c r="D91" s="11"/>
      <c r="E91" s="6"/>
      <c r="F91" s="7"/>
      <c r="G91" s="7"/>
      <c r="H91" s="8"/>
      <c r="I91" s="9"/>
      <c r="J91" s="9"/>
    </row>
    <row r="92" spans="1:10" x14ac:dyDescent="0.3">
      <c r="A92" s="12"/>
      <c r="B92" s="3"/>
      <c r="C92" s="4"/>
      <c r="D92" s="11"/>
      <c r="E92" s="6"/>
      <c r="F92" s="7"/>
      <c r="G92" s="7"/>
      <c r="H92" s="8"/>
      <c r="I92" s="9"/>
      <c r="J92" s="9"/>
    </row>
    <row r="93" spans="1:10" x14ac:dyDescent="0.3">
      <c r="A93" s="12"/>
      <c r="B93" s="7"/>
      <c r="C93" s="4"/>
      <c r="D93" s="11"/>
      <c r="E93" s="6"/>
      <c r="F93" s="7"/>
      <c r="G93" s="7"/>
      <c r="H93" s="8"/>
      <c r="I93" s="9"/>
      <c r="J93" s="9"/>
    </row>
    <row r="94" spans="1:10" x14ac:dyDescent="0.3">
      <c r="A94" s="12"/>
      <c r="B94" s="7"/>
      <c r="C94" s="4"/>
      <c r="D94" s="11"/>
      <c r="E94" s="6"/>
      <c r="F94" s="7"/>
      <c r="G94" s="7"/>
      <c r="H94" s="8"/>
      <c r="I94" s="9"/>
      <c r="J94" s="9"/>
    </row>
    <row r="95" spans="1:10" x14ac:dyDescent="0.3">
      <c r="A95" s="12"/>
      <c r="B95" s="7"/>
      <c r="C95" s="4"/>
      <c r="D95" s="11"/>
      <c r="E95" s="6"/>
      <c r="F95" s="7"/>
      <c r="G95" s="7"/>
      <c r="H95" s="8"/>
      <c r="I95" s="9"/>
      <c r="J95" s="9"/>
    </row>
    <row r="96" spans="1:10" x14ac:dyDescent="0.3">
      <c r="A96" s="12"/>
      <c r="B96" s="3"/>
      <c r="C96" s="4"/>
      <c r="D96" s="11"/>
      <c r="E96" s="6"/>
      <c r="F96" s="7"/>
      <c r="G96" s="7"/>
      <c r="H96" s="8"/>
      <c r="I96" s="9"/>
      <c r="J96" s="9"/>
    </row>
    <row r="97" spans="1:10" x14ac:dyDescent="0.3">
      <c r="A97" s="12"/>
      <c r="B97" s="7"/>
      <c r="C97" s="4"/>
      <c r="D97" s="11"/>
      <c r="E97" s="6"/>
      <c r="F97" s="7"/>
      <c r="G97" s="7"/>
      <c r="H97" s="8"/>
      <c r="I97" s="9"/>
      <c r="J97" s="9"/>
    </row>
    <row r="98" spans="1:10" x14ac:dyDescent="0.3">
      <c r="A98" s="12"/>
      <c r="B98" s="7"/>
      <c r="C98" s="4"/>
      <c r="D98" s="11"/>
      <c r="E98" s="6"/>
      <c r="F98" s="7"/>
      <c r="G98" s="7"/>
      <c r="H98" s="8"/>
      <c r="I98" s="9"/>
      <c r="J98" s="9"/>
    </row>
    <row r="99" spans="1:10" x14ac:dyDescent="0.3">
      <c r="A99" s="12"/>
      <c r="B99" s="7"/>
      <c r="C99" s="4"/>
      <c r="D99" s="11"/>
      <c r="E99" s="6"/>
      <c r="F99" s="7"/>
      <c r="G99" s="7"/>
      <c r="H99" s="8"/>
      <c r="I99" s="9"/>
      <c r="J99" s="9"/>
    </row>
    <row r="100" spans="1:10" x14ac:dyDescent="0.3">
      <c r="A100" s="12"/>
      <c r="B100" s="3"/>
      <c r="C100" s="4"/>
      <c r="D100" s="11"/>
      <c r="E100" s="6"/>
      <c r="F100" s="7"/>
      <c r="G100" s="7"/>
      <c r="H100" s="8"/>
      <c r="I100" s="9"/>
      <c r="J100" s="9"/>
    </row>
    <row r="101" spans="1:10" x14ac:dyDescent="0.3">
      <c r="A101" s="12"/>
      <c r="B101" s="7"/>
      <c r="C101" s="4"/>
      <c r="D101" s="11"/>
      <c r="E101" s="6"/>
      <c r="F101" s="7"/>
      <c r="G101" s="7"/>
      <c r="H101" s="8"/>
      <c r="I101" s="9"/>
      <c r="J101" s="9"/>
    </row>
    <row r="102" spans="1:10" x14ac:dyDescent="0.3">
      <c r="A102" s="12"/>
      <c r="B102" s="7"/>
      <c r="C102" s="4"/>
      <c r="D102" s="11"/>
      <c r="E102" s="6"/>
      <c r="F102" s="7"/>
      <c r="G102" s="7"/>
      <c r="H102" s="8"/>
      <c r="I102" s="9"/>
      <c r="J102" s="9"/>
    </row>
    <row r="103" spans="1:10" x14ac:dyDescent="0.3">
      <c r="A103" s="12"/>
      <c r="B103" s="7"/>
      <c r="C103" s="4"/>
      <c r="D103" s="11"/>
      <c r="E103" s="6"/>
      <c r="F103" s="7"/>
      <c r="G103" s="7"/>
      <c r="H103" s="8"/>
      <c r="I103" s="9"/>
      <c r="J103" s="9"/>
    </row>
    <row r="104" spans="1:10" x14ac:dyDescent="0.3">
      <c r="A104" s="12"/>
      <c r="B104" s="7"/>
      <c r="C104" s="4"/>
      <c r="D104" s="11"/>
      <c r="E104" s="6"/>
      <c r="F104" s="7"/>
      <c r="G104" s="7"/>
      <c r="H104" s="8"/>
      <c r="I104" s="9"/>
      <c r="J104" s="9"/>
    </row>
    <row r="105" spans="1:10" x14ac:dyDescent="0.3">
      <c r="A105" s="12"/>
      <c r="B105" s="3"/>
      <c r="C105" s="4"/>
      <c r="D105" s="11"/>
      <c r="E105" s="6"/>
      <c r="F105" s="7"/>
      <c r="G105" s="7"/>
      <c r="H105" s="8"/>
      <c r="I105" s="9"/>
      <c r="J105" s="9"/>
    </row>
    <row r="106" spans="1:10" x14ac:dyDescent="0.3">
      <c r="A106" s="12"/>
      <c r="B106" s="7"/>
      <c r="C106" s="4"/>
      <c r="D106" s="11"/>
      <c r="E106" s="6"/>
      <c r="F106" s="7"/>
      <c r="G106" s="7"/>
      <c r="H106" s="8"/>
      <c r="I106" s="9"/>
      <c r="J106" s="9"/>
    </row>
    <row r="107" spans="1:10" x14ac:dyDescent="0.3">
      <c r="A107" s="12"/>
      <c r="B107" s="7"/>
      <c r="C107" s="4"/>
      <c r="D107" s="11"/>
      <c r="E107" s="6"/>
      <c r="F107" s="7"/>
      <c r="G107" s="7"/>
      <c r="H107" s="8"/>
      <c r="I107" s="9"/>
      <c r="J107" s="9"/>
    </row>
    <row r="108" spans="1:10" x14ac:dyDescent="0.3">
      <c r="A108" s="12"/>
      <c r="B108" s="7"/>
      <c r="C108" s="4"/>
      <c r="D108" s="11"/>
      <c r="E108" s="6"/>
      <c r="F108" s="7"/>
      <c r="G108" s="7"/>
      <c r="H108" s="8"/>
      <c r="I108" s="9"/>
      <c r="J108" s="9"/>
    </row>
    <row r="109" spans="1:10" x14ac:dyDescent="0.3">
      <c r="A109" s="12"/>
      <c r="B109" s="7"/>
      <c r="C109" s="4"/>
      <c r="D109" s="11"/>
      <c r="E109" s="6"/>
      <c r="F109" s="7"/>
      <c r="G109" s="7"/>
      <c r="H109" s="8"/>
      <c r="I109" s="9"/>
      <c r="J109" s="9"/>
    </row>
    <row r="110" spans="1:10" x14ac:dyDescent="0.3">
      <c r="A110" s="12"/>
      <c r="B110" s="3"/>
      <c r="C110" s="4"/>
      <c r="D110" s="11"/>
      <c r="E110" s="6"/>
      <c r="F110" s="7"/>
      <c r="G110" s="7"/>
      <c r="H110" s="8"/>
      <c r="I110" s="9"/>
      <c r="J110" s="9"/>
    </row>
    <row r="111" spans="1:10" x14ac:dyDescent="0.3">
      <c r="A111" s="12"/>
      <c r="B111" s="7"/>
      <c r="C111" s="4"/>
      <c r="D111" s="11"/>
      <c r="E111" s="6"/>
      <c r="F111" s="7"/>
      <c r="G111" s="7"/>
      <c r="H111" s="8"/>
      <c r="I111" s="9"/>
      <c r="J111" s="9"/>
    </row>
    <row r="112" spans="1:10" x14ac:dyDescent="0.3">
      <c r="A112" s="12"/>
      <c r="B112" s="7"/>
      <c r="C112" s="4"/>
      <c r="D112" s="11"/>
      <c r="E112" s="6"/>
      <c r="F112" s="7"/>
      <c r="G112" s="7"/>
      <c r="H112" s="8"/>
      <c r="I112" s="9"/>
      <c r="J112" s="9"/>
    </row>
    <row r="113" spans="1:10" x14ac:dyDescent="0.3">
      <c r="A113" s="12"/>
      <c r="B113" s="7"/>
      <c r="C113" s="4"/>
      <c r="D113" s="11"/>
      <c r="E113" s="6"/>
      <c r="F113" s="7"/>
      <c r="G113" s="7"/>
      <c r="H113" s="8"/>
      <c r="I113" s="9"/>
      <c r="J113" s="9"/>
    </row>
    <row r="114" spans="1:10" x14ac:dyDescent="0.3">
      <c r="A114" s="12"/>
      <c r="B114" s="7"/>
      <c r="C114" s="4"/>
      <c r="D114" s="11"/>
      <c r="E114" s="6"/>
      <c r="F114" s="7"/>
      <c r="G114" s="7"/>
      <c r="H114" s="8"/>
      <c r="I114" s="9"/>
      <c r="J114" s="9"/>
    </row>
    <row r="115" spans="1:10" x14ac:dyDescent="0.3">
      <c r="A115" s="12"/>
      <c r="B115" s="3"/>
      <c r="C115" s="4"/>
      <c r="D115" s="11"/>
      <c r="E115" s="6"/>
      <c r="F115" s="7"/>
      <c r="G115" s="7"/>
      <c r="H115" s="8"/>
      <c r="I115" s="9"/>
      <c r="J115" s="9"/>
    </row>
    <row r="116" spans="1:10" x14ac:dyDescent="0.3">
      <c r="A116" s="7"/>
      <c r="B116" s="7"/>
      <c r="C116" s="4"/>
      <c r="D116" s="11"/>
      <c r="E116" s="6"/>
      <c r="F116" s="7"/>
      <c r="G116" s="7"/>
      <c r="H116" s="8"/>
      <c r="I116" s="9"/>
      <c r="J116" s="9"/>
    </row>
    <row r="117" spans="1:10" x14ac:dyDescent="0.3">
      <c r="A117" s="7"/>
      <c r="B117" s="7"/>
      <c r="C117" s="4"/>
      <c r="D117" s="11"/>
      <c r="E117" s="6"/>
      <c r="F117" s="7"/>
      <c r="G117" s="7"/>
      <c r="H117" s="8"/>
      <c r="I117" s="9"/>
      <c r="J117" s="9"/>
    </row>
    <row r="118" spans="1:10" x14ac:dyDescent="0.3">
      <c r="A118" s="7"/>
      <c r="B118" s="7"/>
      <c r="C118" s="4"/>
      <c r="D118" s="11"/>
      <c r="E118" s="6"/>
      <c r="F118" s="7"/>
      <c r="G118" s="7"/>
      <c r="H118" s="8"/>
      <c r="I118" s="9"/>
      <c r="J118" s="9"/>
    </row>
    <row r="119" spans="1:10" x14ac:dyDescent="0.3">
      <c r="A119" s="7"/>
      <c r="B119" s="7"/>
      <c r="C119" s="4"/>
      <c r="D119" s="11"/>
      <c r="E119" s="6"/>
      <c r="F119" s="7"/>
      <c r="G119" s="7"/>
      <c r="H119" s="8"/>
      <c r="I119" s="9"/>
      <c r="J119" s="9"/>
    </row>
    <row r="120" spans="1:10" x14ac:dyDescent="0.3">
      <c r="A120" s="7"/>
      <c r="B120" s="3"/>
      <c r="C120" s="4"/>
      <c r="D120" s="11"/>
      <c r="E120" s="6"/>
      <c r="F120" s="7"/>
      <c r="G120" s="7"/>
      <c r="H120" s="8"/>
      <c r="I120" s="9"/>
      <c r="J12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Finish Status</vt:lpstr>
      <vt:lpstr>İstasyon CT</vt:lpstr>
      <vt:lpstr>Gecikmeler</vt:lpstr>
      <vt:lpstr>Vardiya Aktarımı</vt:lpstr>
      <vt:lpstr>Mold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Tek, Fikret Sarper</dc:creator>
  <cp:lastModifiedBy>Tek, Fikret Sarper</cp:lastModifiedBy>
  <cp:lastPrinted>2022-02-10T08:58:50Z</cp:lastPrinted>
  <dcterms:created xsi:type="dcterms:W3CDTF">2015-06-05T18:19:34Z</dcterms:created>
  <dcterms:modified xsi:type="dcterms:W3CDTF">2022-04-25T06:11:15Z</dcterms:modified>
</cp:coreProperties>
</file>